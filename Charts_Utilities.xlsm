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5" windowWidth="7530" windowHeight="5055"/>
  </bookViews>
  <sheets>
    <sheet name="Scene1" sheetId="1" r:id="rId1"/>
    <sheet name="Scene2" sheetId="2" r:id="rId2"/>
    <sheet name="Scatter" sheetId="5" r:id="rId3"/>
  </sheets>
  <definedNames>
    <definedName name="__FDS_HYPERLINK_TOGGLE_STATE__">"ON"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I3" i="2" l="1"/>
  <c r="S3" i="2" s="1"/>
  <c r="H3" i="2"/>
  <c r="G3" i="2"/>
  <c r="L5" i="1"/>
  <c r="H5" i="1"/>
  <c r="D5" i="1"/>
  <c r="B2" i="2"/>
  <c r="B1" i="2"/>
  <c r="D35" i="1"/>
  <c r="D7" i="1"/>
  <c r="D41" i="1"/>
  <c r="D17" i="1"/>
  <c r="D18" i="1"/>
  <c r="D34" i="1"/>
  <c r="D20" i="1"/>
  <c r="D32" i="1"/>
  <c r="D15" i="1"/>
  <c r="D38" i="1"/>
  <c r="D21" i="1"/>
  <c r="D13" i="1"/>
  <c r="D28" i="1"/>
  <c r="D27" i="1"/>
  <c r="D30" i="1"/>
  <c r="D39" i="1"/>
  <c r="D31" i="1"/>
  <c r="D12" i="1"/>
  <c r="D9" i="1"/>
  <c r="D33" i="1"/>
  <c r="D23" i="1"/>
  <c r="D19" i="1"/>
  <c r="D25" i="1"/>
  <c r="D6" i="1"/>
  <c r="D26" i="1"/>
  <c r="D10" i="1"/>
  <c r="D11" i="1"/>
  <c r="D36" i="1"/>
  <c r="D14" i="1"/>
  <c r="D16" i="1"/>
  <c r="D8" i="1"/>
  <c r="D22" i="1"/>
  <c r="D40" i="1"/>
  <c r="D24" i="1"/>
  <c r="D29" i="1"/>
  <c r="D37" i="1"/>
  <c r="C1" i="2"/>
  <c r="C2" i="2"/>
  <c r="H17" i="1"/>
  <c r="H6" i="1"/>
  <c r="H13" i="1"/>
  <c r="H39" i="1"/>
  <c r="H30" i="1"/>
  <c r="H36" i="1"/>
  <c r="H11" i="1"/>
  <c r="H32" i="1"/>
  <c r="H22" i="1"/>
  <c r="H37" i="1"/>
  <c r="H38" i="1"/>
  <c r="H24" i="1"/>
  <c r="H8" i="1"/>
  <c r="H23" i="1"/>
  <c r="H28" i="1"/>
  <c r="H29" i="1"/>
  <c r="H41" i="1"/>
  <c r="H26" i="1"/>
  <c r="H25" i="1"/>
  <c r="H31" i="1"/>
  <c r="H21" i="1"/>
  <c r="H15" i="1"/>
  <c r="H35" i="1"/>
  <c r="H19" i="1"/>
  <c r="H12" i="1"/>
  <c r="H14" i="1"/>
  <c r="H40" i="1"/>
  <c r="H10" i="1"/>
  <c r="H34" i="1"/>
  <c r="H9" i="1"/>
  <c r="H20" i="1"/>
  <c r="H18" i="1"/>
  <c r="H27" i="1"/>
  <c r="H16" i="1"/>
  <c r="H7" i="1"/>
  <c r="H33" i="1"/>
  <c r="Q32" i="2"/>
  <c r="Q16" i="2"/>
  <c r="L33" i="2"/>
  <c r="L17" i="2"/>
  <c r="G34" i="2"/>
  <c r="G26" i="2"/>
  <c r="G18" i="2"/>
  <c r="G10" i="2"/>
  <c r="L18" i="2"/>
  <c r="Q36" i="2"/>
  <c r="Q39" i="2"/>
  <c r="G33" i="2"/>
  <c r="G25" i="2"/>
  <c r="G17" i="2"/>
  <c r="G9" i="2"/>
  <c r="Q35" i="2"/>
  <c r="Q19" i="2"/>
  <c r="L36" i="2"/>
  <c r="L20" i="2"/>
  <c r="Q4" i="2"/>
  <c r="G37" i="2"/>
  <c r="G29" i="2"/>
  <c r="G21" i="2"/>
  <c r="G13" i="2"/>
  <c r="G5" i="2"/>
  <c r="Q33" i="2"/>
  <c r="L34" i="2"/>
  <c r="G35" i="2"/>
  <c r="G27" i="2"/>
  <c r="G19" i="2"/>
  <c r="G11" i="2"/>
  <c r="Q28" i="2"/>
  <c r="Q15" i="2"/>
  <c r="L32" i="2"/>
  <c r="L16" i="2"/>
  <c r="Q38" i="2"/>
  <c r="Q22" i="2"/>
  <c r="Q6" i="2"/>
  <c r="L31" i="2"/>
  <c r="L15" i="2"/>
  <c r="L4" i="2"/>
  <c r="G32" i="2"/>
  <c r="G24" i="2"/>
  <c r="G16" i="2"/>
  <c r="G8" i="2"/>
  <c r="Q9" i="2"/>
  <c r="L37" i="2"/>
  <c r="L21" i="2"/>
  <c r="Q26" i="2"/>
  <c r="Q10" i="2"/>
  <c r="L27" i="2"/>
  <c r="L11" i="2"/>
  <c r="G36" i="2"/>
  <c r="G28" i="2"/>
  <c r="G20" i="2"/>
  <c r="G12" i="2"/>
  <c r="G4" i="2"/>
  <c r="Q37" i="2"/>
  <c r="Q21" i="2"/>
  <c r="Q5" i="2"/>
  <c r="L30" i="2"/>
  <c r="L14" i="2"/>
  <c r="G39" i="2"/>
  <c r="G31" i="2"/>
  <c r="G23" i="2"/>
  <c r="G15" i="2"/>
  <c r="G7" i="2"/>
  <c r="L13" i="2"/>
  <c r="G38" i="2"/>
  <c r="G30" i="2"/>
  <c r="G22" i="2"/>
  <c r="G14" i="2"/>
  <c r="G6" i="2"/>
  <c r="D1" i="2"/>
  <c r="S34" i="2" s="1"/>
  <c r="D2" i="2"/>
  <c r="R39" i="2"/>
  <c r="R29" i="2"/>
  <c r="R13" i="2"/>
  <c r="M38" i="2"/>
  <c r="M22" i="2"/>
  <c r="M6" i="2"/>
  <c r="H31" i="2"/>
  <c r="H15" i="2"/>
  <c r="H16" i="2"/>
  <c r="M34" i="2"/>
  <c r="H27" i="2"/>
  <c r="H11" i="2"/>
  <c r="M29" i="2"/>
  <c r="M13" i="2"/>
  <c r="R32" i="2"/>
  <c r="R16" i="2"/>
  <c r="M33" i="2"/>
  <c r="M17" i="2"/>
  <c r="H34" i="2"/>
  <c r="H18" i="2"/>
  <c r="R38" i="2"/>
  <c r="R6" i="2"/>
  <c r="M26" i="2"/>
  <c r="H14" i="2"/>
  <c r="R35" i="2"/>
  <c r="R19" i="2"/>
  <c r="M36" i="2"/>
  <c r="M20" i="2"/>
  <c r="M12" i="2"/>
  <c r="M4" i="2"/>
  <c r="H37" i="2"/>
  <c r="H29" i="2"/>
  <c r="H21" i="2"/>
  <c r="H13" i="2"/>
  <c r="H5" i="2"/>
  <c r="R30" i="2"/>
  <c r="R22" i="2"/>
  <c r="M39" i="2"/>
  <c r="M31" i="2"/>
  <c r="M23" i="2"/>
  <c r="M15" i="2"/>
  <c r="M7" i="2"/>
  <c r="H32" i="2"/>
  <c r="H24" i="2"/>
  <c r="R33" i="2"/>
  <c r="R25" i="2"/>
  <c r="R9" i="2"/>
  <c r="M10" i="2"/>
  <c r="R31" i="2"/>
  <c r="R23" i="2"/>
  <c r="R15" i="2"/>
  <c r="R7" i="2"/>
  <c r="M32" i="2"/>
  <c r="M24" i="2"/>
  <c r="M16" i="2"/>
  <c r="M8" i="2"/>
  <c r="H33" i="2"/>
  <c r="H25" i="2"/>
  <c r="H17" i="2"/>
  <c r="H9" i="2"/>
  <c r="R34" i="2"/>
  <c r="R26" i="2"/>
  <c r="R18" i="2"/>
  <c r="R10" i="2"/>
  <c r="M35" i="2"/>
  <c r="M27" i="2"/>
  <c r="M19" i="2"/>
  <c r="M11" i="2"/>
  <c r="H36" i="2"/>
  <c r="H28" i="2"/>
  <c r="H20" i="2"/>
  <c r="H12" i="2"/>
  <c r="H4" i="2"/>
  <c r="R36" i="2"/>
  <c r="R28" i="2"/>
  <c r="R20" i="2"/>
  <c r="R12" i="2"/>
  <c r="R4" i="2"/>
  <c r="H38" i="2"/>
  <c r="H30" i="2"/>
  <c r="H22" i="2"/>
  <c r="L21" i="1"/>
  <c r="L32" i="1"/>
  <c r="L23" i="1"/>
  <c r="L25" i="1"/>
  <c r="L24" i="1"/>
  <c r="L13" i="1"/>
  <c r="L37" i="1"/>
  <c r="L22" i="1"/>
  <c r="L19" i="1"/>
  <c r="L15" i="1"/>
  <c r="L27" i="1"/>
  <c r="L9" i="1"/>
  <c r="L16" i="1"/>
  <c r="L28" i="1"/>
  <c r="L8" i="1"/>
  <c r="L31" i="1"/>
  <c r="L11" i="1"/>
  <c r="L39" i="1"/>
  <c r="L34" i="1"/>
  <c r="L30" i="1"/>
  <c r="L33" i="1"/>
  <c r="L10" i="1"/>
  <c r="L38" i="1"/>
  <c r="L7" i="1"/>
  <c r="L6" i="1"/>
  <c r="L29" i="1"/>
  <c r="L41" i="1"/>
  <c r="L36" i="1"/>
  <c r="L20" i="1"/>
  <c r="L17" i="1"/>
  <c r="L12" i="1"/>
  <c r="L26" i="1"/>
  <c r="L18" i="1"/>
  <c r="L14" i="1"/>
  <c r="L35" i="1"/>
  <c r="L40" i="1"/>
  <c r="S26" i="2"/>
  <c r="S10" i="2"/>
  <c r="N27" i="2"/>
  <c r="N11" i="2"/>
  <c r="I28" i="2"/>
  <c r="I12" i="2"/>
  <c r="S27" i="2"/>
  <c r="N36" i="2"/>
  <c r="I29" i="2"/>
  <c r="S22" i="2"/>
  <c r="S6" i="2"/>
  <c r="N15" i="2"/>
  <c r="S17" i="2"/>
  <c r="S37" i="2"/>
  <c r="S21" i="2"/>
  <c r="S5" i="2"/>
  <c r="N30" i="2"/>
  <c r="N14" i="2"/>
  <c r="I39" i="2"/>
  <c r="I23" i="2"/>
  <c r="I7" i="2"/>
  <c r="N20" i="2"/>
  <c r="N4" i="2"/>
  <c r="N7" i="2"/>
  <c r="I24" i="2"/>
  <c r="I8" i="2"/>
  <c r="I35" i="2"/>
  <c r="S32" i="2"/>
  <c r="S16" i="2"/>
  <c r="N33" i="2"/>
  <c r="N17" i="2"/>
  <c r="I34" i="2"/>
  <c r="I18" i="2"/>
  <c r="S39" i="2"/>
  <c r="I37" i="2"/>
  <c r="I5" i="2"/>
  <c r="S36" i="2"/>
  <c r="S20" i="2"/>
  <c r="S4" i="2"/>
  <c r="N29" i="2"/>
  <c r="N13" i="2"/>
  <c r="I38" i="2"/>
  <c r="I22" i="2"/>
  <c r="I6" i="2"/>
  <c r="S23" i="2"/>
  <c r="S7" i="2"/>
  <c r="N24" i="2"/>
  <c r="N8" i="2"/>
  <c r="I25" i="2"/>
  <c r="I9" i="2"/>
  <c r="N31" i="2"/>
  <c r="N26" i="2"/>
  <c r="N10" i="2"/>
  <c r="I11" i="2"/>
  <c r="Q3" i="2" l="1"/>
  <c r="L3" i="2"/>
  <c r="I19" i="2"/>
  <c r="N18" i="2"/>
  <c r="N34" i="2"/>
  <c r="S30" i="2"/>
  <c r="I17" i="2"/>
  <c r="I33" i="2"/>
  <c r="N16" i="2"/>
  <c r="N32" i="2"/>
  <c r="S15" i="2"/>
  <c r="S31" i="2"/>
  <c r="I14" i="2"/>
  <c r="I30" i="2"/>
  <c r="N5" i="2"/>
  <c r="N21" i="2"/>
  <c r="N37" i="2"/>
  <c r="S12" i="2"/>
  <c r="S28" i="2"/>
  <c r="S38" i="2"/>
  <c r="I13" i="2"/>
  <c r="S35" i="2"/>
  <c r="I10" i="2"/>
  <c r="I26" i="2"/>
  <c r="N9" i="2"/>
  <c r="N25" i="2"/>
  <c r="S8" i="2"/>
  <c r="S24" i="2"/>
  <c r="I27" i="2"/>
  <c r="S33" i="2"/>
  <c r="I16" i="2"/>
  <c r="I32" i="2"/>
  <c r="N39" i="2"/>
  <c r="N12" i="2"/>
  <c r="S19" i="2"/>
  <c r="I15" i="2"/>
  <c r="I31" i="2"/>
  <c r="N6" i="2"/>
  <c r="N22" i="2"/>
  <c r="N38" i="2"/>
  <c r="S13" i="2"/>
  <c r="S29" i="2"/>
  <c r="S9" i="2"/>
  <c r="S25" i="2"/>
  <c r="N23" i="2"/>
  <c r="S14" i="2"/>
  <c r="I21" i="2"/>
  <c r="N28" i="2"/>
  <c r="S11" i="2"/>
  <c r="I4" i="2"/>
  <c r="I20" i="2"/>
  <c r="I36" i="2"/>
  <c r="N19" i="2"/>
  <c r="N35" i="2"/>
  <c r="S18" i="2"/>
  <c r="R37" i="2"/>
  <c r="R21" i="2"/>
  <c r="R5" i="2"/>
  <c r="M30" i="2"/>
  <c r="M14" i="2"/>
  <c r="H39" i="2"/>
  <c r="H23" i="2"/>
  <c r="H7" i="2"/>
  <c r="H8" i="2"/>
  <c r="H35" i="2"/>
  <c r="H19" i="2"/>
  <c r="M37" i="2"/>
  <c r="M21" i="2"/>
  <c r="M5" i="2"/>
  <c r="R24" i="2"/>
  <c r="R8" i="2"/>
  <c r="M25" i="2"/>
  <c r="M9" i="2"/>
  <c r="H26" i="2"/>
  <c r="H10" i="2"/>
  <c r="R14" i="2"/>
  <c r="R17" i="2"/>
  <c r="M18" i="2"/>
  <c r="H6" i="2"/>
  <c r="R27" i="2"/>
  <c r="R11" i="2"/>
  <c r="M28" i="2"/>
  <c r="Q24" i="2"/>
  <c r="Q8" i="2"/>
  <c r="L25" i="2"/>
  <c r="L9" i="2"/>
  <c r="L10" i="2"/>
  <c r="L5" i="2"/>
  <c r="Q31" i="2"/>
  <c r="Q27" i="2"/>
  <c r="Q11" i="2"/>
  <c r="L28" i="2"/>
  <c r="L12" i="2"/>
  <c r="Q25" i="2"/>
  <c r="L26" i="2"/>
  <c r="Q23" i="2"/>
  <c r="Q7" i="2"/>
  <c r="L24" i="2"/>
  <c r="L8" i="2"/>
  <c r="Q30" i="2"/>
  <c r="Q14" i="2"/>
  <c r="L39" i="2"/>
  <c r="L23" i="2"/>
  <c r="L7" i="2"/>
  <c r="Q17" i="2"/>
  <c r="Q20" i="2"/>
  <c r="L29" i="2"/>
  <c r="Q34" i="2"/>
  <c r="Q18" i="2"/>
  <c r="L35" i="2"/>
  <c r="L19" i="2"/>
  <c r="Q29" i="2"/>
  <c r="Q13" i="2"/>
  <c r="L38" i="2"/>
  <c r="L22" i="2"/>
  <c r="L6" i="2"/>
  <c r="Q12" i="2"/>
  <c r="N3" i="2"/>
  <c r="R3" i="2"/>
  <c r="M3" i="2"/>
</calcChain>
</file>

<file path=xl/sharedStrings.xml><?xml version="1.0" encoding="utf-8"?>
<sst xmlns="http://schemas.openxmlformats.org/spreadsheetml/2006/main" count="23" uniqueCount="17">
  <si>
    <t>Date</t>
  </si>
  <si>
    <t>A</t>
  </si>
  <si>
    <t>B</t>
  </si>
  <si>
    <t>C</t>
  </si>
  <si>
    <t>Sample Inputs:</t>
  </si>
  <si>
    <t>Layout Type=1, Start Column=C, # of charts=3, # of series in each chart=2, spacings=4, label row=5, data start row=6, end row=7</t>
  </si>
  <si>
    <t>Layout Type=2, Start Column=B, # of charts=3, # of series in each chart=4, spacings=5, label row=5, data start row=3, end row=4</t>
  </si>
  <si>
    <t>X</t>
  </si>
  <si>
    <t>Y</t>
  </si>
  <si>
    <t>Peter</t>
  </si>
  <si>
    <t>Chan</t>
  </si>
  <si>
    <t>Paul</t>
  </si>
  <si>
    <t>Sandy</t>
  </si>
  <si>
    <t>Susan</t>
  </si>
  <si>
    <t>Douch</t>
  </si>
  <si>
    <t>Donkey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</si>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</sst>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rgb="FF000000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304E88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666699"/>
      <rgbColor rgb="00808000"/>
      <rgbColor rgb="00800080"/>
      <rgbColor rgb="00008080"/>
      <rgbColor rgb="00C0C0C0"/>
      <rgbColor rgb="00808080"/>
      <rgbColor rgb="00304E88"/>
      <rgbColor rgb="0097A5BB"/>
      <rgbColor rgb="00000000"/>
      <rgbColor rgb="007F7F7F"/>
      <rgbColor rgb="00CED5D7"/>
      <rgbColor rgb="00666699"/>
      <rgbColor rgb="005673A2"/>
      <rgbColor rgb="00E2E7E8"/>
      <rgbColor rgb="00304E88"/>
      <rgbColor rgb="0097A5BB"/>
      <rgbColor rgb="00000000"/>
      <rgbColor rgb="007F7F7F"/>
      <rgbColor rgb="00CED5D7"/>
      <rgbColor rgb="00666699"/>
      <rgbColor rgb="005673A2"/>
      <rgbColor rgb="00E2E7E8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CED5D7"/>
      <rgbColor rgb="00339966"/>
      <rgbColor rgb="007F7F7F"/>
      <rgbColor rgb="00000000"/>
      <rgbColor rgb="0097A5BB"/>
      <rgbColor rgb="00993366"/>
      <rgbColor rgb="005673A2"/>
      <rgbColor rgb="00E2E7E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84890970907117E-2"/>
          <c:y val="5.8823529411764705E-2"/>
          <c:w val="0.90436182818919775"/>
          <c:h val="0.82353117625002747"/>
        </c:manualLayout>
      </c:layout>
      <c:lineChart>
        <c:grouping val="standard"/>
        <c:varyColors val="0"/>
        <c:ser>
          <c:idx val="0"/>
          <c:order val="0"/>
          <c:tx>
            <c:strRef>
              <c:f>Scene1!$C$5</c:f>
              <c:strCache>
                <c:ptCount val="1"/>
                <c:pt idx="0">
                  <c:v>A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Scene1!$A$6:$A$500</c:f>
              <c:numCache>
                <c:formatCode>m/d/yyyy</c:formatCode>
                <c:ptCount val="495"/>
                <c:pt idx="0">
                  <c:v>39813</c:v>
                </c:pt>
                <c:pt idx="1">
                  <c:v>39844</c:v>
                </c:pt>
                <c:pt idx="2">
                  <c:v>39872</c:v>
                </c:pt>
                <c:pt idx="3">
                  <c:v>39903</c:v>
                </c:pt>
                <c:pt idx="4">
                  <c:v>39933</c:v>
                </c:pt>
                <c:pt idx="5">
                  <c:v>39964</c:v>
                </c:pt>
                <c:pt idx="6">
                  <c:v>39994</c:v>
                </c:pt>
                <c:pt idx="7">
                  <c:v>40025</c:v>
                </c:pt>
                <c:pt idx="8">
                  <c:v>40056</c:v>
                </c:pt>
                <c:pt idx="9">
                  <c:v>40086</c:v>
                </c:pt>
                <c:pt idx="10">
                  <c:v>40117</c:v>
                </c:pt>
                <c:pt idx="11">
                  <c:v>40147</c:v>
                </c:pt>
                <c:pt idx="12">
                  <c:v>40178</c:v>
                </c:pt>
                <c:pt idx="13">
                  <c:v>40209</c:v>
                </c:pt>
                <c:pt idx="14">
                  <c:v>40237</c:v>
                </c:pt>
                <c:pt idx="15">
                  <c:v>40268</c:v>
                </c:pt>
                <c:pt idx="16">
                  <c:v>40298</c:v>
                </c:pt>
                <c:pt idx="17">
                  <c:v>40329</c:v>
                </c:pt>
                <c:pt idx="18">
                  <c:v>40359</c:v>
                </c:pt>
                <c:pt idx="19">
                  <c:v>40390</c:v>
                </c:pt>
                <c:pt idx="20">
                  <c:v>40421</c:v>
                </c:pt>
                <c:pt idx="21">
                  <c:v>40451</c:v>
                </c:pt>
                <c:pt idx="22">
                  <c:v>40482</c:v>
                </c:pt>
                <c:pt idx="23">
                  <c:v>40512</c:v>
                </c:pt>
                <c:pt idx="24">
                  <c:v>40543</c:v>
                </c:pt>
                <c:pt idx="25">
                  <c:v>40574</c:v>
                </c:pt>
                <c:pt idx="26">
                  <c:v>40602</c:v>
                </c:pt>
                <c:pt idx="27">
                  <c:v>40633</c:v>
                </c:pt>
                <c:pt idx="28">
                  <c:v>40663</c:v>
                </c:pt>
                <c:pt idx="29">
                  <c:v>40694</c:v>
                </c:pt>
                <c:pt idx="30">
                  <c:v>40724</c:v>
                </c:pt>
                <c:pt idx="31">
                  <c:v>40755</c:v>
                </c:pt>
                <c:pt idx="32">
                  <c:v>40786</c:v>
                </c:pt>
                <c:pt idx="33">
                  <c:v>40816</c:v>
                </c:pt>
                <c:pt idx="34">
                  <c:v>40847</c:v>
                </c:pt>
                <c:pt idx="35">
                  <c:v>40877</c:v>
                </c:pt>
              </c:numCache>
            </c:numRef>
          </c:cat>
          <c:val>
            <c:numRef>
              <c:f>Scene1!$C$6:$C$500</c:f>
              <c:numCache>
                <c:formatCode>0.00</c:formatCode>
                <c:ptCount val="495"/>
                <c:pt idx="0">
                  <c:v>0</c:v>
                </c:pt>
                <c:pt idx="1">
                  <c:v>1.0333333333333334</c:v>
                </c:pt>
                <c:pt idx="2">
                  <c:v>1.9666666666666666</c:v>
                </c:pt>
                <c:pt idx="3">
                  <c:v>3</c:v>
                </c:pt>
                <c:pt idx="4">
                  <c:v>4</c:v>
                </c:pt>
                <c:pt idx="5">
                  <c:v>5.0333333333333332</c:v>
                </c:pt>
                <c:pt idx="6">
                  <c:v>6.0333333333333332</c:v>
                </c:pt>
                <c:pt idx="7">
                  <c:v>7.0666666666666664</c:v>
                </c:pt>
                <c:pt idx="8">
                  <c:v>8.1</c:v>
                </c:pt>
                <c:pt idx="9">
                  <c:v>9.1</c:v>
                </c:pt>
                <c:pt idx="10">
                  <c:v>10.133333333333333</c:v>
                </c:pt>
                <c:pt idx="11">
                  <c:v>11.133333333333333</c:v>
                </c:pt>
                <c:pt idx="12">
                  <c:v>12.166666666666666</c:v>
                </c:pt>
                <c:pt idx="13">
                  <c:v>13.2</c:v>
                </c:pt>
                <c:pt idx="14">
                  <c:v>14.133333333333333</c:v>
                </c:pt>
                <c:pt idx="15">
                  <c:v>15.166666666666666</c:v>
                </c:pt>
                <c:pt idx="16">
                  <c:v>16.166666666666668</c:v>
                </c:pt>
                <c:pt idx="17">
                  <c:v>17.2</c:v>
                </c:pt>
                <c:pt idx="18">
                  <c:v>18.2</c:v>
                </c:pt>
                <c:pt idx="19">
                  <c:v>19.233333333333334</c:v>
                </c:pt>
                <c:pt idx="20">
                  <c:v>20.266666666666666</c:v>
                </c:pt>
                <c:pt idx="21">
                  <c:v>21.266666666666666</c:v>
                </c:pt>
                <c:pt idx="22">
                  <c:v>22.3</c:v>
                </c:pt>
                <c:pt idx="23">
                  <c:v>23.3</c:v>
                </c:pt>
                <c:pt idx="24">
                  <c:v>24.333333333333332</c:v>
                </c:pt>
                <c:pt idx="25">
                  <c:v>25.366666666666667</c:v>
                </c:pt>
                <c:pt idx="26">
                  <c:v>26.3</c:v>
                </c:pt>
                <c:pt idx="27">
                  <c:v>27.333333333333332</c:v>
                </c:pt>
                <c:pt idx="28">
                  <c:v>28.333333333333332</c:v>
                </c:pt>
                <c:pt idx="29">
                  <c:v>29.366666666666667</c:v>
                </c:pt>
                <c:pt idx="30">
                  <c:v>30.366666666666667</c:v>
                </c:pt>
                <c:pt idx="31">
                  <c:v>31.4</c:v>
                </c:pt>
                <c:pt idx="32">
                  <c:v>32.43333333333333</c:v>
                </c:pt>
                <c:pt idx="33">
                  <c:v>33.43333333333333</c:v>
                </c:pt>
                <c:pt idx="34">
                  <c:v>34.466666666666669</c:v>
                </c:pt>
                <c:pt idx="35">
                  <c:v>35.466666666666669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Scene1!$D$5</c:f>
              <c:strCache>
                <c:ptCount val="1"/>
                <c:pt idx="0">
                  <c:v>A - Avg</c:v>
                </c:pt>
              </c:strCache>
            </c:strRef>
          </c:tx>
          <c:spPr>
            <a:ln w="12700">
              <a:solidFill>
                <a:srgbClr val="304E88"/>
              </a:solidFill>
              <a:prstDash val="sysDash"/>
            </a:ln>
          </c:spPr>
          <c:marker>
            <c:symbol val="none"/>
          </c:marker>
          <c:cat>
            <c:numRef>
              <c:f>Scene1!$A$6:$A$500</c:f>
              <c:numCache>
                <c:formatCode>m/d/yyyy</c:formatCode>
                <c:ptCount val="495"/>
                <c:pt idx="0">
                  <c:v>39813</c:v>
                </c:pt>
                <c:pt idx="1">
                  <c:v>39844</c:v>
                </c:pt>
                <c:pt idx="2">
                  <c:v>39872</c:v>
                </c:pt>
                <c:pt idx="3">
                  <c:v>39903</c:v>
                </c:pt>
                <c:pt idx="4">
                  <c:v>39933</c:v>
                </c:pt>
                <c:pt idx="5">
                  <c:v>39964</c:v>
                </c:pt>
                <c:pt idx="6">
                  <c:v>39994</c:v>
                </c:pt>
                <c:pt idx="7">
                  <c:v>40025</c:v>
                </c:pt>
                <c:pt idx="8">
                  <c:v>40056</c:v>
                </c:pt>
                <c:pt idx="9">
                  <c:v>40086</c:v>
                </c:pt>
                <c:pt idx="10">
                  <c:v>40117</c:v>
                </c:pt>
                <c:pt idx="11">
                  <c:v>40147</c:v>
                </c:pt>
                <c:pt idx="12">
                  <c:v>40178</c:v>
                </c:pt>
                <c:pt idx="13">
                  <c:v>40209</c:v>
                </c:pt>
                <c:pt idx="14">
                  <c:v>40237</c:v>
                </c:pt>
                <c:pt idx="15">
                  <c:v>40268</c:v>
                </c:pt>
                <c:pt idx="16">
                  <c:v>40298</c:v>
                </c:pt>
                <c:pt idx="17">
                  <c:v>40329</c:v>
                </c:pt>
                <c:pt idx="18">
                  <c:v>40359</c:v>
                </c:pt>
                <c:pt idx="19">
                  <c:v>40390</c:v>
                </c:pt>
                <c:pt idx="20">
                  <c:v>40421</c:v>
                </c:pt>
                <c:pt idx="21">
                  <c:v>40451</c:v>
                </c:pt>
                <c:pt idx="22">
                  <c:v>40482</c:v>
                </c:pt>
                <c:pt idx="23">
                  <c:v>40512</c:v>
                </c:pt>
                <c:pt idx="24">
                  <c:v>40543</c:v>
                </c:pt>
                <c:pt idx="25">
                  <c:v>40574</c:v>
                </c:pt>
                <c:pt idx="26">
                  <c:v>40602</c:v>
                </c:pt>
                <c:pt idx="27">
                  <c:v>40633</c:v>
                </c:pt>
                <c:pt idx="28">
                  <c:v>40663</c:v>
                </c:pt>
                <c:pt idx="29">
                  <c:v>40694</c:v>
                </c:pt>
                <c:pt idx="30">
                  <c:v>40724</c:v>
                </c:pt>
                <c:pt idx="31">
                  <c:v>40755</c:v>
                </c:pt>
                <c:pt idx="32">
                  <c:v>40786</c:v>
                </c:pt>
                <c:pt idx="33">
                  <c:v>40816</c:v>
                </c:pt>
                <c:pt idx="34">
                  <c:v>40847</c:v>
                </c:pt>
                <c:pt idx="35">
                  <c:v>40877</c:v>
                </c:pt>
              </c:numCache>
            </c:numRef>
          </c:cat>
          <c:val>
            <c:numRef>
              <c:f>Scene1!$D$6:$D$500</c:f>
              <c:numCache>
                <c:formatCode>0.00</c:formatCode>
                <c:ptCount val="495"/>
                <c:pt idx="0">
                  <c:v>17.716666666666665</c:v>
                </c:pt>
                <c:pt idx="1">
                  <c:v>17.716666666666665</c:v>
                </c:pt>
                <c:pt idx="2">
                  <c:v>17.716666666666665</c:v>
                </c:pt>
                <c:pt idx="3">
                  <c:v>17.716666666666665</c:v>
                </c:pt>
                <c:pt idx="4">
                  <c:v>17.716666666666665</c:v>
                </c:pt>
                <c:pt idx="5">
                  <c:v>17.716666666666665</c:v>
                </c:pt>
                <c:pt idx="6">
                  <c:v>17.716666666666665</c:v>
                </c:pt>
                <c:pt idx="7">
                  <c:v>17.716666666666665</c:v>
                </c:pt>
                <c:pt idx="8">
                  <c:v>17.716666666666665</c:v>
                </c:pt>
                <c:pt idx="9">
                  <c:v>17.716666666666665</c:v>
                </c:pt>
                <c:pt idx="10">
                  <c:v>17.716666666666665</c:v>
                </c:pt>
                <c:pt idx="11">
                  <c:v>17.716666666666665</c:v>
                </c:pt>
                <c:pt idx="12">
                  <c:v>17.716666666666665</c:v>
                </c:pt>
                <c:pt idx="13">
                  <c:v>17.716666666666665</c:v>
                </c:pt>
                <c:pt idx="14">
                  <c:v>17.716666666666665</c:v>
                </c:pt>
                <c:pt idx="15">
                  <c:v>17.716666666666665</c:v>
                </c:pt>
                <c:pt idx="16">
                  <c:v>17.716666666666665</c:v>
                </c:pt>
                <c:pt idx="17">
                  <c:v>17.716666666666665</c:v>
                </c:pt>
                <c:pt idx="18">
                  <c:v>17.716666666666665</c:v>
                </c:pt>
                <c:pt idx="19">
                  <c:v>17.716666666666665</c:v>
                </c:pt>
                <c:pt idx="20">
                  <c:v>17.716666666666665</c:v>
                </c:pt>
                <c:pt idx="21">
                  <c:v>17.716666666666665</c:v>
                </c:pt>
                <c:pt idx="22">
                  <c:v>17.716666666666665</c:v>
                </c:pt>
                <c:pt idx="23">
                  <c:v>17.716666666666665</c:v>
                </c:pt>
                <c:pt idx="24">
                  <c:v>17.716666666666665</c:v>
                </c:pt>
                <c:pt idx="25">
                  <c:v>17.716666666666665</c:v>
                </c:pt>
                <c:pt idx="26">
                  <c:v>17.716666666666665</c:v>
                </c:pt>
                <c:pt idx="27">
                  <c:v>17.716666666666665</c:v>
                </c:pt>
                <c:pt idx="28">
                  <c:v>17.716666666666665</c:v>
                </c:pt>
                <c:pt idx="29">
                  <c:v>17.716666666666665</c:v>
                </c:pt>
                <c:pt idx="30">
                  <c:v>17.716666666666665</c:v>
                </c:pt>
                <c:pt idx="31">
                  <c:v>17.716666666666665</c:v>
                </c:pt>
                <c:pt idx="32">
                  <c:v>17.716666666666665</c:v>
                </c:pt>
                <c:pt idx="33">
                  <c:v>17.716666666666665</c:v>
                </c:pt>
                <c:pt idx="34">
                  <c:v>17.716666666666665</c:v>
                </c:pt>
                <c:pt idx="35">
                  <c:v>17.716666666666665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36608"/>
        <c:axId val="405288064"/>
      </c:lineChart>
      <c:dateAx>
        <c:axId val="40363660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405288064"/>
        <c:crosses val="autoZero"/>
        <c:auto val="0"/>
        <c:lblOffset val="100"/>
        <c:baseTimeUnit val="months"/>
        <c:majorUnit val="6"/>
        <c:majorTimeUnit val="months"/>
        <c:minorUnit val="3"/>
        <c:minorTimeUnit val="months"/>
      </c:dateAx>
      <c:valAx>
        <c:axId val="4052880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036366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1001406469760903"/>
          <c:y val="6.744127572288755E-2"/>
          <c:w val="0.18112517580872012"/>
          <c:h val="0.19284854099119964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Narrow" panose="020B0606020202030204" pitchFamily="34" charset="0"/>
          <a:ea typeface="CIR Trade Gothic Cn"/>
          <a:cs typeface="CIR Trade Gothic Cn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60794569609042E-2"/>
          <c:y val="7.5630407264326877E-2"/>
          <c:w val="0.85937593664543876"/>
          <c:h val="0.76470745122819395"/>
        </c:manualLayout>
      </c:layout>
      <c:lineChart>
        <c:grouping val="standard"/>
        <c:varyColors val="0"/>
        <c:ser>
          <c:idx val="0"/>
          <c:order val="0"/>
          <c:tx>
            <c:strRef>
              <c:f>Scene2!$B$3</c:f>
              <c:strCache>
                <c:ptCount val="1"/>
                <c:pt idx="0">
                  <c:v>A</c:v>
                </c:pt>
              </c:strCache>
            </c:strRef>
          </c:tx>
          <c:spPr>
            <a:ln w="22225">
              <a:solidFill>
                <a:srgbClr val="304E88"/>
              </a:solidFill>
              <a:prstDash val="solid"/>
            </a:ln>
          </c:spPr>
          <c:marker>
            <c:symbol val="none"/>
          </c:marker>
          <c:cat>
            <c:numRef>
              <c:f>Scene2!$A$4:$A$39</c:f>
              <c:numCache>
                <c:formatCode>m/d/yyyy</c:formatCode>
                <c:ptCount val="36"/>
                <c:pt idx="0">
                  <c:v>39813</c:v>
                </c:pt>
                <c:pt idx="1">
                  <c:v>39844</c:v>
                </c:pt>
                <c:pt idx="2">
                  <c:v>39872</c:v>
                </c:pt>
                <c:pt idx="3">
                  <c:v>39903</c:v>
                </c:pt>
                <c:pt idx="4">
                  <c:v>39933</c:v>
                </c:pt>
                <c:pt idx="5">
                  <c:v>39964</c:v>
                </c:pt>
                <c:pt idx="6">
                  <c:v>39994</c:v>
                </c:pt>
                <c:pt idx="7">
                  <c:v>40025</c:v>
                </c:pt>
                <c:pt idx="8">
                  <c:v>40056</c:v>
                </c:pt>
                <c:pt idx="9">
                  <c:v>40086</c:v>
                </c:pt>
                <c:pt idx="10">
                  <c:v>40117</c:v>
                </c:pt>
                <c:pt idx="11">
                  <c:v>40147</c:v>
                </c:pt>
                <c:pt idx="12">
                  <c:v>40178</c:v>
                </c:pt>
                <c:pt idx="13">
                  <c:v>40209</c:v>
                </c:pt>
                <c:pt idx="14">
                  <c:v>40237</c:v>
                </c:pt>
                <c:pt idx="15">
                  <c:v>40268</c:v>
                </c:pt>
                <c:pt idx="16">
                  <c:v>40298</c:v>
                </c:pt>
                <c:pt idx="17">
                  <c:v>40329</c:v>
                </c:pt>
                <c:pt idx="18">
                  <c:v>40359</c:v>
                </c:pt>
                <c:pt idx="19">
                  <c:v>40390</c:v>
                </c:pt>
                <c:pt idx="20">
                  <c:v>40421</c:v>
                </c:pt>
                <c:pt idx="21">
                  <c:v>40451</c:v>
                </c:pt>
                <c:pt idx="22">
                  <c:v>40482</c:v>
                </c:pt>
                <c:pt idx="23">
                  <c:v>40512</c:v>
                </c:pt>
                <c:pt idx="24">
                  <c:v>40543</c:v>
                </c:pt>
                <c:pt idx="25">
                  <c:v>40574</c:v>
                </c:pt>
                <c:pt idx="26">
                  <c:v>40602</c:v>
                </c:pt>
                <c:pt idx="27">
                  <c:v>40633</c:v>
                </c:pt>
                <c:pt idx="28">
                  <c:v>40663</c:v>
                </c:pt>
                <c:pt idx="29">
                  <c:v>40694</c:v>
                </c:pt>
                <c:pt idx="30">
                  <c:v>40724</c:v>
                </c:pt>
                <c:pt idx="31">
                  <c:v>40755</c:v>
                </c:pt>
                <c:pt idx="32">
                  <c:v>40786</c:v>
                </c:pt>
                <c:pt idx="33">
                  <c:v>40816</c:v>
                </c:pt>
                <c:pt idx="34">
                  <c:v>40847</c:v>
                </c:pt>
                <c:pt idx="35">
                  <c:v>40877</c:v>
                </c:pt>
              </c:numCache>
            </c:numRef>
          </c:cat>
          <c:val>
            <c:numRef>
              <c:f>Scene2!$B$4:$B$39</c:f>
              <c:numCache>
                <c:formatCode>0.00</c:formatCode>
                <c:ptCount val="36"/>
                <c:pt idx="0">
                  <c:v>0</c:v>
                </c:pt>
                <c:pt idx="1">
                  <c:v>1.0333333333333334</c:v>
                </c:pt>
                <c:pt idx="2">
                  <c:v>1.9666666666666666</c:v>
                </c:pt>
                <c:pt idx="3">
                  <c:v>3</c:v>
                </c:pt>
                <c:pt idx="4">
                  <c:v>4</c:v>
                </c:pt>
                <c:pt idx="5">
                  <c:v>5.0333333333333332</c:v>
                </c:pt>
                <c:pt idx="6">
                  <c:v>6.0333333333333332</c:v>
                </c:pt>
                <c:pt idx="7">
                  <c:v>7.0666666666666664</c:v>
                </c:pt>
                <c:pt idx="8">
                  <c:v>8.1</c:v>
                </c:pt>
                <c:pt idx="9">
                  <c:v>9.1</c:v>
                </c:pt>
                <c:pt idx="10">
                  <c:v>10.133333333333333</c:v>
                </c:pt>
                <c:pt idx="11">
                  <c:v>11.133333333333333</c:v>
                </c:pt>
                <c:pt idx="12">
                  <c:v>12.166666666666666</c:v>
                </c:pt>
                <c:pt idx="13">
                  <c:v>13.2</c:v>
                </c:pt>
                <c:pt idx="14">
                  <c:v>14.133333333333333</c:v>
                </c:pt>
                <c:pt idx="15">
                  <c:v>15.166666666666666</c:v>
                </c:pt>
                <c:pt idx="16">
                  <c:v>16.166666666666668</c:v>
                </c:pt>
                <c:pt idx="17">
                  <c:v>17.2</c:v>
                </c:pt>
                <c:pt idx="18">
                  <c:v>18.2</c:v>
                </c:pt>
                <c:pt idx="19">
                  <c:v>19.233333333333334</c:v>
                </c:pt>
                <c:pt idx="20">
                  <c:v>20.266666666666666</c:v>
                </c:pt>
                <c:pt idx="21">
                  <c:v>21.266666666666666</c:v>
                </c:pt>
                <c:pt idx="22">
                  <c:v>22.3</c:v>
                </c:pt>
                <c:pt idx="23">
                  <c:v>23.3</c:v>
                </c:pt>
                <c:pt idx="24">
                  <c:v>24.333333333333332</c:v>
                </c:pt>
                <c:pt idx="25">
                  <c:v>25.366666666666667</c:v>
                </c:pt>
                <c:pt idx="26">
                  <c:v>26.3</c:v>
                </c:pt>
                <c:pt idx="27">
                  <c:v>27.333333333333332</c:v>
                </c:pt>
                <c:pt idx="28">
                  <c:v>28.333333333333332</c:v>
                </c:pt>
                <c:pt idx="29">
                  <c:v>29.366666666666667</c:v>
                </c:pt>
                <c:pt idx="30">
                  <c:v>30.366666666666667</c:v>
                </c:pt>
                <c:pt idx="31">
                  <c:v>31.4</c:v>
                </c:pt>
                <c:pt idx="32">
                  <c:v>32.43333333333333</c:v>
                </c:pt>
                <c:pt idx="33">
                  <c:v>33.43333333333333</c:v>
                </c:pt>
                <c:pt idx="34">
                  <c:v>34.466666666666669</c:v>
                </c:pt>
                <c:pt idx="35">
                  <c:v>35.466666666666669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Scene2!$G$3</c:f>
              <c:strCache>
                <c:ptCount val="1"/>
                <c:pt idx="0">
                  <c:v>A - Avg</c:v>
                </c:pt>
              </c:strCache>
            </c:strRef>
          </c:tx>
          <c:spPr>
            <a:ln w="12700">
              <a:solidFill>
                <a:srgbClr val="304E88"/>
              </a:solidFill>
              <a:prstDash val="sysDash"/>
            </a:ln>
          </c:spPr>
          <c:marker>
            <c:symbol val="none"/>
          </c:marker>
          <c:cat>
            <c:numRef>
              <c:f>Scene2!$A$4:$A$39</c:f>
              <c:numCache>
                <c:formatCode>m/d/yyyy</c:formatCode>
                <c:ptCount val="36"/>
                <c:pt idx="0">
                  <c:v>39813</c:v>
                </c:pt>
                <c:pt idx="1">
                  <c:v>39844</c:v>
                </c:pt>
                <c:pt idx="2">
                  <c:v>39872</c:v>
                </c:pt>
                <c:pt idx="3">
                  <c:v>39903</c:v>
                </c:pt>
                <c:pt idx="4">
                  <c:v>39933</c:v>
                </c:pt>
                <c:pt idx="5">
                  <c:v>39964</c:v>
                </c:pt>
                <c:pt idx="6">
                  <c:v>39994</c:v>
                </c:pt>
                <c:pt idx="7">
                  <c:v>40025</c:v>
                </c:pt>
                <c:pt idx="8">
                  <c:v>40056</c:v>
                </c:pt>
                <c:pt idx="9">
                  <c:v>40086</c:v>
                </c:pt>
                <c:pt idx="10">
                  <c:v>40117</c:v>
                </c:pt>
                <c:pt idx="11">
                  <c:v>40147</c:v>
                </c:pt>
                <c:pt idx="12">
                  <c:v>40178</c:v>
                </c:pt>
                <c:pt idx="13">
                  <c:v>40209</c:v>
                </c:pt>
                <c:pt idx="14">
                  <c:v>40237</c:v>
                </c:pt>
                <c:pt idx="15">
                  <c:v>40268</c:v>
                </c:pt>
                <c:pt idx="16">
                  <c:v>40298</c:v>
                </c:pt>
                <c:pt idx="17">
                  <c:v>40329</c:v>
                </c:pt>
                <c:pt idx="18">
                  <c:v>40359</c:v>
                </c:pt>
                <c:pt idx="19">
                  <c:v>40390</c:v>
                </c:pt>
                <c:pt idx="20">
                  <c:v>40421</c:v>
                </c:pt>
                <c:pt idx="21">
                  <c:v>40451</c:v>
                </c:pt>
                <c:pt idx="22">
                  <c:v>40482</c:v>
                </c:pt>
                <c:pt idx="23">
                  <c:v>40512</c:v>
                </c:pt>
                <c:pt idx="24">
                  <c:v>40543</c:v>
                </c:pt>
                <c:pt idx="25">
                  <c:v>40574</c:v>
                </c:pt>
                <c:pt idx="26">
                  <c:v>40602</c:v>
                </c:pt>
                <c:pt idx="27">
                  <c:v>40633</c:v>
                </c:pt>
                <c:pt idx="28">
                  <c:v>40663</c:v>
                </c:pt>
                <c:pt idx="29">
                  <c:v>40694</c:v>
                </c:pt>
                <c:pt idx="30">
                  <c:v>40724</c:v>
                </c:pt>
                <c:pt idx="31">
                  <c:v>40755</c:v>
                </c:pt>
                <c:pt idx="32">
                  <c:v>40786</c:v>
                </c:pt>
                <c:pt idx="33">
                  <c:v>40816</c:v>
                </c:pt>
                <c:pt idx="34">
                  <c:v>40847</c:v>
                </c:pt>
                <c:pt idx="35">
                  <c:v>40877</c:v>
                </c:pt>
              </c:numCache>
            </c:numRef>
          </c:cat>
          <c:val>
            <c:numRef>
              <c:f>Scene2!$G$4:$G$39</c:f>
              <c:numCache>
                <c:formatCode>0.00</c:formatCode>
                <c:ptCount val="36"/>
                <c:pt idx="0">
                  <c:v>17.716666666666665</c:v>
                </c:pt>
                <c:pt idx="1">
                  <c:v>17.716666666666665</c:v>
                </c:pt>
                <c:pt idx="2">
                  <c:v>17.716666666666665</c:v>
                </c:pt>
                <c:pt idx="3">
                  <c:v>17.716666666666665</c:v>
                </c:pt>
                <c:pt idx="4">
                  <c:v>17.716666666666665</c:v>
                </c:pt>
                <c:pt idx="5">
                  <c:v>17.716666666666665</c:v>
                </c:pt>
                <c:pt idx="6">
                  <c:v>17.716666666666665</c:v>
                </c:pt>
                <c:pt idx="7">
                  <c:v>17.716666666666665</c:v>
                </c:pt>
                <c:pt idx="8">
                  <c:v>17.716666666666665</c:v>
                </c:pt>
                <c:pt idx="9">
                  <c:v>17.716666666666665</c:v>
                </c:pt>
                <c:pt idx="10">
                  <c:v>17.716666666666665</c:v>
                </c:pt>
                <c:pt idx="11">
                  <c:v>17.716666666666665</c:v>
                </c:pt>
                <c:pt idx="12">
                  <c:v>17.716666666666665</c:v>
                </c:pt>
                <c:pt idx="13">
                  <c:v>17.716666666666665</c:v>
                </c:pt>
                <c:pt idx="14">
                  <c:v>17.716666666666665</c:v>
                </c:pt>
                <c:pt idx="15">
                  <c:v>17.716666666666665</c:v>
                </c:pt>
                <c:pt idx="16">
                  <c:v>17.716666666666665</c:v>
                </c:pt>
                <c:pt idx="17">
                  <c:v>17.716666666666665</c:v>
                </c:pt>
                <c:pt idx="18">
                  <c:v>17.716666666666665</c:v>
                </c:pt>
                <c:pt idx="19">
                  <c:v>17.716666666666665</c:v>
                </c:pt>
                <c:pt idx="20">
                  <c:v>17.716666666666665</c:v>
                </c:pt>
                <c:pt idx="21">
                  <c:v>17.716666666666665</c:v>
                </c:pt>
                <c:pt idx="22">
                  <c:v>17.716666666666665</c:v>
                </c:pt>
                <c:pt idx="23">
                  <c:v>17.716666666666665</c:v>
                </c:pt>
                <c:pt idx="24">
                  <c:v>17.716666666666665</c:v>
                </c:pt>
                <c:pt idx="25">
                  <c:v>17.716666666666665</c:v>
                </c:pt>
                <c:pt idx="26">
                  <c:v>17.716666666666665</c:v>
                </c:pt>
                <c:pt idx="27">
                  <c:v>17.716666666666665</c:v>
                </c:pt>
                <c:pt idx="28">
                  <c:v>17.716666666666665</c:v>
                </c:pt>
                <c:pt idx="29">
                  <c:v>17.716666666666665</c:v>
                </c:pt>
                <c:pt idx="30">
                  <c:v>17.716666666666665</c:v>
                </c:pt>
                <c:pt idx="31">
                  <c:v>17.716666666666665</c:v>
                </c:pt>
                <c:pt idx="32">
                  <c:v>17.716666666666665</c:v>
                </c:pt>
                <c:pt idx="33">
                  <c:v>17.716666666666665</c:v>
                </c:pt>
                <c:pt idx="34">
                  <c:v>17.716666666666665</c:v>
                </c:pt>
                <c:pt idx="35">
                  <c:v>17.716666666666665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Scene2!$L$3</c:f>
              <c:strCache>
                <c:ptCount val="1"/>
                <c:pt idx="0">
                  <c:v>A - Avg+1std</c:v>
                </c:pt>
              </c:strCache>
            </c:strRef>
          </c:tx>
          <c:spPr>
            <a:ln w="12700">
              <a:solidFill>
                <a:srgbClr val="304E88"/>
              </a:solidFill>
              <a:prstDash val="sysDash"/>
            </a:ln>
          </c:spPr>
          <c:marker>
            <c:symbol val="none"/>
          </c:marker>
          <c:cat>
            <c:numRef>
              <c:f>Scene2!$A$4:$A$39</c:f>
              <c:numCache>
                <c:formatCode>m/d/yyyy</c:formatCode>
                <c:ptCount val="36"/>
                <c:pt idx="0">
                  <c:v>39813</c:v>
                </c:pt>
                <c:pt idx="1">
                  <c:v>39844</c:v>
                </c:pt>
                <c:pt idx="2">
                  <c:v>39872</c:v>
                </c:pt>
                <c:pt idx="3">
                  <c:v>39903</c:v>
                </c:pt>
                <c:pt idx="4">
                  <c:v>39933</c:v>
                </c:pt>
                <c:pt idx="5">
                  <c:v>39964</c:v>
                </c:pt>
                <c:pt idx="6">
                  <c:v>39994</c:v>
                </c:pt>
                <c:pt idx="7">
                  <c:v>40025</c:v>
                </c:pt>
                <c:pt idx="8">
                  <c:v>40056</c:v>
                </c:pt>
                <c:pt idx="9">
                  <c:v>40086</c:v>
                </c:pt>
                <c:pt idx="10">
                  <c:v>40117</c:v>
                </c:pt>
                <c:pt idx="11">
                  <c:v>40147</c:v>
                </c:pt>
                <c:pt idx="12">
                  <c:v>40178</c:v>
                </c:pt>
                <c:pt idx="13">
                  <c:v>40209</c:v>
                </c:pt>
                <c:pt idx="14">
                  <c:v>40237</c:v>
                </c:pt>
                <c:pt idx="15">
                  <c:v>40268</c:v>
                </c:pt>
                <c:pt idx="16">
                  <c:v>40298</c:v>
                </c:pt>
                <c:pt idx="17">
                  <c:v>40329</c:v>
                </c:pt>
                <c:pt idx="18">
                  <c:v>40359</c:v>
                </c:pt>
                <c:pt idx="19">
                  <c:v>40390</c:v>
                </c:pt>
                <c:pt idx="20">
                  <c:v>40421</c:v>
                </c:pt>
                <c:pt idx="21">
                  <c:v>40451</c:v>
                </c:pt>
                <c:pt idx="22">
                  <c:v>40482</c:v>
                </c:pt>
                <c:pt idx="23">
                  <c:v>40512</c:v>
                </c:pt>
                <c:pt idx="24">
                  <c:v>40543</c:v>
                </c:pt>
                <c:pt idx="25">
                  <c:v>40574</c:v>
                </c:pt>
                <c:pt idx="26">
                  <c:v>40602</c:v>
                </c:pt>
                <c:pt idx="27">
                  <c:v>40633</c:v>
                </c:pt>
                <c:pt idx="28">
                  <c:v>40663</c:v>
                </c:pt>
                <c:pt idx="29">
                  <c:v>40694</c:v>
                </c:pt>
                <c:pt idx="30">
                  <c:v>40724</c:v>
                </c:pt>
                <c:pt idx="31">
                  <c:v>40755</c:v>
                </c:pt>
                <c:pt idx="32">
                  <c:v>40786</c:v>
                </c:pt>
                <c:pt idx="33">
                  <c:v>40816</c:v>
                </c:pt>
                <c:pt idx="34">
                  <c:v>40847</c:v>
                </c:pt>
                <c:pt idx="35">
                  <c:v>40877</c:v>
                </c:pt>
              </c:numCache>
            </c:numRef>
          </c:cat>
          <c:val>
            <c:numRef>
              <c:f>Scene2!$L$4:$L$39</c:f>
              <c:numCache>
                <c:formatCode>0.00</c:formatCode>
                <c:ptCount val="36"/>
                <c:pt idx="0">
                  <c:v>28.39878791133124</c:v>
                </c:pt>
                <c:pt idx="1">
                  <c:v>28.39878791133124</c:v>
                </c:pt>
                <c:pt idx="2">
                  <c:v>28.39878791133124</c:v>
                </c:pt>
                <c:pt idx="3">
                  <c:v>28.39878791133124</c:v>
                </c:pt>
                <c:pt idx="4">
                  <c:v>28.39878791133124</c:v>
                </c:pt>
                <c:pt idx="5">
                  <c:v>28.39878791133124</c:v>
                </c:pt>
                <c:pt idx="6">
                  <c:v>28.39878791133124</c:v>
                </c:pt>
                <c:pt idx="7">
                  <c:v>28.39878791133124</c:v>
                </c:pt>
                <c:pt idx="8">
                  <c:v>28.39878791133124</c:v>
                </c:pt>
                <c:pt idx="9">
                  <c:v>28.39878791133124</c:v>
                </c:pt>
                <c:pt idx="10">
                  <c:v>28.39878791133124</c:v>
                </c:pt>
                <c:pt idx="11">
                  <c:v>28.39878791133124</c:v>
                </c:pt>
                <c:pt idx="12">
                  <c:v>28.39878791133124</c:v>
                </c:pt>
                <c:pt idx="13">
                  <c:v>28.39878791133124</c:v>
                </c:pt>
                <c:pt idx="14">
                  <c:v>28.39878791133124</c:v>
                </c:pt>
                <c:pt idx="15">
                  <c:v>28.39878791133124</c:v>
                </c:pt>
                <c:pt idx="16">
                  <c:v>28.39878791133124</c:v>
                </c:pt>
                <c:pt idx="17">
                  <c:v>28.39878791133124</c:v>
                </c:pt>
                <c:pt idx="18">
                  <c:v>28.39878791133124</c:v>
                </c:pt>
                <c:pt idx="19">
                  <c:v>28.39878791133124</c:v>
                </c:pt>
                <c:pt idx="20">
                  <c:v>28.39878791133124</c:v>
                </c:pt>
                <c:pt idx="21">
                  <c:v>28.39878791133124</c:v>
                </c:pt>
                <c:pt idx="22">
                  <c:v>28.39878791133124</c:v>
                </c:pt>
                <c:pt idx="23">
                  <c:v>28.39878791133124</c:v>
                </c:pt>
                <c:pt idx="24">
                  <c:v>28.39878791133124</c:v>
                </c:pt>
                <c:pt idx="25">
                  <c:v>28.39878791133124</c:v>
                </c:pt>
                <c:pt idx="26">
                  <c:v>28.39878791133124</c:v>
                </c:pt>
                <c:pt idx="27">
                  <c:v>28.39878791133124</c:v>
                </c:pt>
                <c:pt idx="28">
                  <c:v>28.39878791133124</c:v>
                </c:pt>
                <c:pt idx="29">
                  <c:v>28.39878791133124</c:v>
                </c:pt>
                <c:pt idx="30">
                  <c:v>28.39878791133124</c:v>
                </c:pt>
                <c:pt idx="31">
                  <c:v>28.39878791133124</c:v>
                </c:pt>
                <c:pt idx="32">
                  <c:v>28.39878791133124</c:v>
                </c:pt>
                <c:pt idx="33">
                  <c:v>28.39878791133124</c:v>
                </c:pt>
                <c:pt idx="34">
                  <c:v>28.39878791133124</c:v>
                </c:pt>
                <c:pt idx="35">
                  <c:v>28.39878791133124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Scene2!$Q$3</c:f>
              <c:strCache>
                <c:ptCount val="1"/>
                <c:pt idx="0">
                  <c:v>A - Avg-1std</c:v>
                </c:pt>
              </c:strCache>
            </c:strRef>
          </c:tx>
          <c:spPr>
            <a:ln w="12700">
              <a:solidFill>
                <a:srgbClr val="304E88"/>
              </a:solidFill>
              <a:prstDash val="sysDash"/>
            </a:ln>
          </c:spPr>
          <c:marker>
            <c:symbol val="none"/>
          </c:marker>
          <c:cat>
            <c:numRef>
              <c:f>Scene2!$A$4:$A$39</c:f>
              <c:numCache>
                <c:formatCode>m/d/yyyy</c:formatCode>
                <c:ptCount val="36"/>
                <c:pt idx="0">
                  <c:v>39813</c:v>
                </c:pt>
                <c:pt idx="1">
                  <c:v>39844</c:v>
                </c:pt>
                <c:pt idx="2">
                  <c:v>39872</c:v>
                </c:pt>
                <c:pt idx="3">
                  <c:v>39903</c:v>
                </c:pt>
                <c:pt idx="4">
                  <c:v>39933</c:v>
                </c:pt>
                <c:pt idx="5">
                  <c:v>39964</c:v>
                </c:pt>
                <c:pt idx="6">
                  <c:v>39994</c:v>
                </c:pt>
                <c:pt idx="7">
                  <c:v>40025</c:v>
                </c:pt>
                <c:pt idx="8">
                  <c:v>40056</c:v>
                </c:pt>
                <c:pt idx="9">
                  <c:v>40086</c:v>
                </c:pt>
                <c:pt idx="10">
                  <c:v>40117</c:v>
                </c:pt>
                <c:pt idx="11">
                  <c:v>40147</c:v>
                </c:pt>
                <c:pt idx="12">
                  <c:v>40178</c:v>
                </c:pt>
                <c:pt idx="13">
                  <c:v>40209</c:v>
                </c:pt>
                <c:pt idx="14">
                  <c:v>40237</c:v>
                </c:pt>
                <c:pt idx="15">
                  <c:v>40268</c:v>
                </c:pt>
                <c:pt idx="16">
                  <c:v>40298</c:v>
                </c:pt>
                <c:pt idx="17">
                  <c:v>40329</c:v>
                </c:pt>
                <c:pt idx="18">
                  <c:v>40359</c:v>
                </c:pt>
                <c:pt idx="19">
                  <c:v>40390</c:v>
                </c:pt>
                <c:pt idx="20">
                  <c:v>40421</c:v>
                </c:pt>
                <c:pt idx="21">
                  <c:v>40451</c:v>
                </c:pt>
                <c:pt idx="22">
                  <c:v>40482</c:v>
                </c:pt>
                <c:pt idx="23">
                  <c:v>40512</c:v>
                </c:pt>
                <c:pt idx="24">
                  <c:v>40543</c:v>
                </c:pt>
                <c:pt idx="25">
                  <c:v>40574</c:v>
                </c:pt>
                <c:pt idx="26">
                  <c:v>40602</c:v>
                </c:pt>
                <c:pt idx="27">
                  <c:v>40633</c:v>
                </c:pt>
                <c:pt idx="28">
                  <c:v>40663</c:v>
                </c:pt>
                <c:pt idx="29">
                  <c:v>40694</c:v>
                </c:pt>
                <c:pt idx="30">
                  <c:v>40724</c:v>
                </c:pt>
                <c:pt idx="31">
                  <c:v>40755</c:v>
                </c:pt>
                <c:pt idx="32">
                  <c:v>40786</c:v>
                </c:pt>
                <c:pt idx="33">
                  <c:v>40816</c:v>
                </c:pt>
                <c:pt idx="34">
                  <c:v>40847</c:v>
                </c:pt>
                <c:pt idx="35">
                  <c:v>40877</c:v>
                </c:pt>
              </c:numCache>
            </c:numRef>
          </c:cat>
          <c:val>
            <c:numRef>
              <c:f>Scene2!$Q$4:$Q$39</c:f>
              <c:numCache>
                <c:formatCode>0.00</c:formatCode>
                <c:ptCount val="36"/>
                <c:pt idx="0">
                  <c:v>7.0345454220020898</c:v>
                </c:pt>
                <c:pt idx="1">
                  <c:v>7.0345454220020898</c:v>
                </c:pt>
                <c:pt idx="2">
                  <c:v>7.0345454220020898</c:v>
                </c:pt>
                <c:pt idx="3">
                  <c:v>7.0345454220020898</c:v>
                </c:pt>
                <c:pt idx="4">
                  <c:v>7.0345454220020898</c:v>
                </c:pt>
                <c:pt idx="5">
                  <c:v>7.0345454220020898</c:v>
                </c:pt>
                <c:pt idx="6">
                  <c:v>7.0345454220020898</c:v>
                </c:pt>
                <c:pt idx="7">
                  <c:v>7.0345454220020898</c:v>
                </c:pt>
                <c:pt idx="8">
                  <c:v>7.0345454220020898</c:v>
                </c:pt>
                <c:pt idx="9">
                  <c:v>7.0345454220020898</c:v>
                </c:pt>
                <c:pt idx="10">
                  <c:v>7.0345454220020898</c:v>
                </c:pt>
                <c:pt idx="11">
                  <c:v>7.0345454220020898</c:v>
                </c:pt>
                <c:pt idx="12">
                  <c:v>7.0345454220020898</c:v>
                </c:pt>
                <c:pt idx="13">
                  <c:v>7.0345454220020898</c:v>
                </c:pt>
                <c:pt idx="14">
                  <c:v>7.0345454220020898</c:v>
                </c:pt>
                <c:pt idx="15">
                  <c:v>7.0345454220020898</c:v>
                </c:pt>
                <c:pt idx="16">
                  <c:v>7.0345454220020898</c:v>
                </c:pt>
                <c:pt idx="17">
                  <c:v>7.0345454220020898</c:v>
                </c:pt>
                <c:pt idx="18">
                  <c:v>7.0345454220020898</c:v>
                </c:pt>
                <c:pt idx="19">
                  <c:v>7.0345454220020898</c:v>
                </c:pt>
                <c:pt idx="20">
                  <c:v>7.0345454220020898</c:v>
                </c:pt>
                <c:pt idx="21">
                  <c:v>7.0345454220020898</c:v>
                </c:pt>
                <c:pt idx="22">
                  <c:v>7.0345454220020898</c:v>
                </c:pt>
                <c:pt idx="23">
                  <c:v>7.0345454220020898</c:v>
                </c:pt>
                <c:pt idx="24">
                  <c:v>7.0345454220020898</c:v>
                </c:pt>
                <c:pt idx="25">
                  <c:v>7.0345454220020898</c:v>
                </c:pt>
                <c:pt idx="26">
                  <c:v>7.0345454220020898</c:v>
                </c:pt>
                <c:pt idx="27">
                  <c:v>7.0345454220020898</c:v>
                </c:pt>
                <c:pt idx="28">
                  <c:v>7.0345454220020898</c:v>
                </c:pt>
                <c:pt idx="29">
                  <c:v>7.0345454220020898</c:v>
                </c:pt>
                <c:pt idx="30">
                  <c:v>7.0345454220020898</c:v>
                </c:pt>
                <c:pt idx="31">
                  <c:v>7.0345454220020898</c:v>
                </c:pt>
                <c:pt idx="32">
                  <c:v>7.0345454220020898</c:v>
                </c:pt>
                <c:pt idx="33">
                  <c:v>7.0345454220020898</c:v>
                </c:pt>
                <c:pt idx="34">
                  <c:v>7.0345454220020898</c:v>
                </c:pt>
                <c:pt idx="35">
                  <c:v>7.0345454220020898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37824"/>
        <c:axId val="110639360"/>
      </c:lineChart>
      <c:dateAx>
        <c:axId val="1106378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10639360"/>
        <c:crosses val="autoZero"/>
        <c:auto val="0"/>
        <c:lblOffset val="100"/>
        <c:baseTimeUnit val="months"/>
        <c:majorUnit val="6"/>
        <c:majorTimeUnit val="months"/>
        <c:minorUnit val="3"/>
        <c:minorTimeUnit val="months"/>
      </c:dateAx>
      <c:valAx>
        <c:axId val="1106393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106378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8.035723043957349E-2"/>
          <c:y val="8.8235475141714689E-2"/>
          <c:w val="0.13392871739928916"/>
          <c:h val="9.2437164434177294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Narrow" panose="020B0606020202030204" pitchFamily="34" charset="0"/>
          <a:ea typeface="CIR Trade Gothic Cn"/>
          <a:cs typeface="CIR Trade Gothic Cn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Scatter!$D$4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Peter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Chan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Paul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Sandy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Susan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Douch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Donkey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Scatter!$C$5:$C$11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5">
                  <c:v>10</c:v>
                </c:pt>
                <c:pt idx="6">
                  <c:v>15</c:v>
                </c:pt>
              </c:numCache>
            </c:numRef>
          </c:xVal>
          <c:yVal>
            <c:numRef>
              <c:f>Scatter!$D$5:$D$11</c:f>
              <c:numCache>
                <c:formatCode>General</c:formatCode>
                <c:ptCount val="7"/>
                <c:pt idx="0">
                  <c:v>1.4864289936755024</c:v>
                </c:pt>
                <c:pt idx="1">
                  <c:v>2.0768778781205679</c:v>
                </c:pt>
                <c:pt idx="2">
                  <c:v>6.4509655142213225</c:v>
                </c:pt>
                <c:pt idx="3">
                  <c:v>7.0227036762388515</c:v>
                </c:pt>
                <c:pt idx="5">
                  <c:v>10.485869319898777</c:v>
                </c:pt>
                <c:pt idx="6">
                  <c:v>28.997597006576715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Scatter!$E$4</c:f>
              <c:strCache>
                <c:ptCount val="1"/>
                <c:pt idx="0">
                  <c:v>Z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</c:spPr>
          </c:marker>
          <c:xVal>
            <c:numRef>
              <c:f>Scatter!$C$5:$C$11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5">
                  <c:v>10</c:v>
                </c:pt>
                <c:pt idx="6">
                  <c:v>15</c:v>
                </c:pt>
              </c:numCache>
            </c:numRef>
          </c:xVal>
          <c:yVal>
            <c:numRef>
              <c:f>Scatter!$E$5:$E$11</c:f>
              <c:numCache>
                <c:formatCode>General</c:formatCode>
                <c:ptCount val="7"/>
                <c:pt idx="0">
                  <c:v>3.4864289936755024</c:v>
                </c:pt>
                <c:pt idx="1">
                  <c:v>6.0768778781205679</c:v>
                </c:pt>
                <c:pt idx="2">
                  <c:v>18.450965514221323</c:v>
                </c:pt>
                <c:pt idx="3">
                  <c:v>15.022703676238852</c:v>
                </c:pt>
                <c:pt idx="5">
                  <c:v>30.485869319898775</c:v>
                </c:pt>
                <c:pt idx="6">
                  <c:v>58.997597006576711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95424"/>
        <c:axId val="125897344"/>
      </c:scatterChart>
      <c:valAx>
        <c:axId val="12589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897344"/>
        <c:crosses val="autoZero"/>
        <c:crossBetween val="midCat"/>
      </c:valAx>
      <c:valAx>
        <c:axId val="125897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8954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20</xdr:col>
      <xdr:colOff>247650</xdr:colOff>
      <xdr:row>20</xdr:row>
      <xdr:rowOff>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22</xdr:row>
          <xdr:rowOff>142875</xdr:rowOff>
        </xdr:from>
        <xdr:to>
          <xdr:col>15</xdr:col>
          <xdr:colOff>76200</xdr:colOff>
          <xdr:row>24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Generate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0</xdr:row>
          <xdr:rowOff>104775</xdr:rowOff>
        </xdr:from>
        <xdr:to>
          <xdr:col>21</xdr:col>
          <xdr:colOff>504825</xdr:colOff>
          <xdr:row>2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Generate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4</xdr:row>
      <xdr:rowOff>0</xdr:rowOff>
    </xdr:from>
    <xdr:to>
      <xdr:col>27</xdr:col>
      <xdr:colOff>0</xdr:colOff>
      <xdr:row>18</xdr:row>
      <xdr:rowOff>0</xdr:rowOff>
    </xdr:to>
    <xdr:graphicFrame macro="">
      <xdr:nvGraphicFramePr>
        <xdr:cNvPr id="4" name="Chart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4</xdr:row>
      <xdr:rowOff>47625</xdr:rowOff>
    </xdr:from>
    <xdr:to>
      <xdr:col>11</xdr:col>
      <xdr:colOff>523875</xdr:colOff>
      <xdr:row>18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47625</xdr:rowOff>
        </xdr:from>
        <xdr:to>
          <xdr:col>6</xdr:col>
          <xdr:colOff>542925</xdr:colOff>
          <xdr:row>2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1"/>
  <sheetViews>
    <sheetView tabSelected="1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2.75" x14ac:dyDescent="0.2"/>
  <cols>
    <col min="1" max="1" width="10.140625" bestFit="1" customWidth="1"/>
  </cols>
  <sheetData>
    <row r="1" spans="1:12" x14ac:dyDescent="0.2">
      <c r="A1" s="4" t="s">
        <v>4</v>
      </c>
    </row>
    <row r="2" spans="1:12" x14ac:dyDescent="0.2">
      <c r="A2" s="4" t="s">
        <v>5</v>
      </c>
    </row>
    <row r="5" spans="1:12" x14ac:dyDescent="0.2">
      <c r="A5" s="3" t="s">
        <v>0</v>
      </c>
      <c r="C5" s="3" t="s">
        <v>1</v>
      </c>
      <c r="D5" s="3" t="str">
        <f>C5&amp;" - Avg"</f>
        <v>A - Avg</v>
      </c>
      <c r="G5" s="3" t="s">
        <v>2</v>
      </c>
      <c r="H5" s="3" t="str">
        <f>G5&amp;" - Avg"</f>
        <v>B - Avg</v>
      </c>
      <c r="K5" s="3" t="s">
        <v>3</v>
      </c>
      <c r="L5" s="3" t="str">
        <f>K5&amp;" - Avg"</f>
        <v>C - Avg</v>
      </c>
    </row>
    <row r="6" spans="1:12" x14ac:dyDescent="0.2">
      <c r="A6" s="1">
        <v>39813</v>
      </c>
      <c r="C6" s="2">
        <v>0</v>
      </c>
      <c r="D6" s="2">
        <f>AVERAGE(C$6:C$500)</f>
        <v>17.716666666666665</v>
      </c>
      <c r="G6" s="2">
        <v>100</v>
      </c>
      <c r="H6" s="2">
        <f t="shared" ref="H6:H41" si="0">AVERAGE(G$6:G$500)</f>
        <v>29.09092592592593</v>
      </c>
      <c r="K6" s="2">
        <v>0</v>
      </c>
      <c r="L6" s="2">
        <f t="shared" ref="L6:L41" si="1">AVERAGE(K$6:K$500)</f>
        <v>-5.3158176705297128E-2</v>
      </c>
    </row>
    <row r="7" spans="1:12" x14ac:dyDescent="0.2">
      <c r="A7" s="1">
        <v>39844</v>
      </c>
      <c r="C7" s="2">
        <v>1.0333333333333334</v>
      </c>
      <c r="D7" s="2">
        <f t="shared" ref="D7:D41" si="2">AVERAGE(C$6:C$500)</f>
        <v>17.716666666666665</v>
      </c>
      <c r="G7" s="2">
        <v>93.229753086419748</v>
      </c>
      <c r="H7" s="2">
        <f t="shared" si="0"/>
        <v>29.09092592592593</v>
      </c>
      <c r="K7" s="2">
        <v>-0.72193916955831461</v>
      </c>
      <c r="L7" s="2">
        <f t="shared" si="1"/>
        <v>-5.3158176705297128E-2</v>
      </c>
    </row>
    <row r="8" spans="1:12" x14ac:dyDescent="0.2">
      <c r="A8" s="1">
        <v>39872</v>
      </c>
      <c r="C8" s="2">
        <v>1.9666666666666666</v>
      </c>
      <c r="D8" s="2">
        <f t="shared" si="2"/>
        <v>17.716666666666665</v>
      </c>
      <c r="G8" s="2">
        <v>87.318641975308637</v>
      </c>
      <c r="H8" s="2">
        <f t="shared" si="0"/>
        <v>29.09092592592593</v>
      </c>
      <c r="K8" s="2">
        <v>-0.65449648078795242</v>
      </c>
      <c r="L8" s="2">
        <f t="shared" si="1"/>
        <v>-5.3158176705297128E-2</v>
      </c>
    </row>
    <row r="9" spans="1:12" x14ac:dyDescent="0.2">
      <c r="A9" s="1">
        <v>39903</v>
      </c>
      <c r="C9" s="2">
        <v>3</v>
      </c>
      <c r="D9" s="2">
        <f t="shared" si="2"/>
        <v>17.716666666666665</v>
      </c>
      <c r="G9" s="2">
        <v>81</v>
      </c>
      <c r="H9" s="2">
        <f t="shared" si="0"/>
        <v>29.09092592592593</v>
      </c>
      <c r="K9" s="2">
        <v>-0.86602540378443771</v>
      </c>
      <c r="L9" s="2">
        <f t="shared" si="1"/>
        <v>-5.3158176705297128E-2</v>
      </c>
    </row>
    <row r="10" spans="1:12" x14ac:dyDescent="0.2">
      <c r="A10" s="1">
        <v>39933</v>
      </c>
      <c r="C10" s="2">
        <v>4</v>
      </c>
      <c r="D10" s="2">
        <f t="shared" si="2"/>
        <v>17.716666666666665</v>
      </c>
      <c r="G10" s="2">
        <v>75.1111111111111</v>
      </c>
      <c r="H10" s="2">
        <f t="shared" si="0"/>
        <v>29.09092592592593</v>
      </c>
      <c r="K10" s="2">
        <v>-0.80212319275505173</v>
      </c>
      <c r="L10" s="2">
        <f t="shared" si="1"/>
        <v>-5.3158176705297128E-2</v>
      </c>
    </row>
    <row r="11" spans="1:12" x14ac:dyDescent="0.2">
      <c r="A11" s="1">
        <v>39964</v>
      </c>
      <c r="C11" s="2">
        <v>5.0333333333333332</v>
      </c>
      <c r="D11" s="2">
        <f t="shared" si="2"/>
        <v>17.716666666666665</v>
      </c>
      <c r="G11" s="2">
        <v>69.259382716049387</v>
      </c>
      <c r="H11" s="2">
        <f t="shared" si="0"/>
        <v>29.09092592592593</v>
      </c>
      <c r="K11" s="2">
        <v>-0.70012504247490281</v>
      </c>
      <c r="L11" s="2">
        <f t="shared" si="1"/>
        <v>-5.3158176705297128E-2</v>
      </c>
    </row>
    <row r="12" spans="1:12" x14ac:dyDescent="0.2">
      <c r="A12" s="1">
        <v>39994</v>
      </c>
      <c r="C12" s="2">
        <v>6.0333333333333332</v>
      </c>
      <c r="D12" s="2">
        <f t="shared" si="2"/>
        <v>17.716666666666665</v>
      </c>
      <c r="G12" s="2">
        <v>63.822345679012351</v>
      </c>
      <c r="H12" s="2">
        <f t="shared" si="0"/>
        <v>29.09092592592593</v>
      </c>
      <c r="K12" s="2">
        <v>-0.18496787178773766</v>
      </c>
      <c r="L12" s="2">
        <f t="shared" si="1"/>
        <v>-5.3158176705297128E-2</v>
      </c>
    </row>
    <row r="13" spans="1:12" x14ac:dyDescent="0.2">
      <c r="A13" s="1">
        <v>40025</v>
      </c>
      <c r="C13" s="2">
        <v>7.0666666666666664</v>
      </c>
      <c r="D13" s="2">
        <f t="shared" si="2"/>
        <v>17.716666666666665</v>
      </c>
      <c r="G13" s="2">
        <v>58.437530864197541</v>
      </c>
      <c r="H13" s="2">
        <f t="shared" si="0"/>
        <v>29.09092592592593</v>
      </c>
      <c r="K13" s="2">
        <v>0.44231767773301123</v>
      </c>
      <c r="L13" s="2">
        <f t="shared" si="1"/>
        <v>-5.3158176705297128E-2</v>
      </c>
    </row>
    <row r="14" spans="1:12" x14ac:dyDescent="0.2">
      <c r="A14" s="1">
        <v>40056</v>
      </c>
      <c r="C14" s="2">
        <v>8.1</v>
      </c>
      <c r="D14" s="2">
        <f t="shared" si="2"/>
        <v>17.716666666666665</v>
      </c>
      <c r="G14" s="2">
        <v>53.29</v>
      </c>
      <c r="H14" s="2">
        <f t="shared" si="0"/>
        <v>29.09092592592593</v>
      </c>
      <c r="K14" s="2">
        <v>0.97591676193874732</v>
      </c>
      <c r="L14" s="2">
        <f t="shared" si="1"/>
        <v>-5.3158176705297128E-2</v>
      </c>
    </row>
    <row r="15" spans="1:12" x14ac:dyDescent="0.2">
      <c r="A15" s="1">
        <v>40086</v>
      </c>
      <c r="C15" s="2">
        <v>9.1</v>
      </c>
      <c r="D15" s="2">
        <f t="shared" si="2"/>
        <v>17.716666666666665</v>
      </c>
      <c r="G15" s="2">
        <v>48.534444444444446</v>
      </c>
      <c r="H15" s="2">
        <f t="shared" si="0"/>
        <v>29.09092592592593</v>
      </c>
      <c r="K15" s="2">
        <v>0.46844388904494844</v>
      </c>
      <c r="L15" s="2">
        <f t="shared" si="1"/>
        <v>-5.3158176705297128E-2</v>
      </c>
    </row>
    <row r="16" spans="1:12" x14ac:dyDescent="0.2">
      <c r="A16" s="1">
        <v>40117</v>
      </c>
      <c r="C16" s="2">
        <v>10.133333333333333</v>
      </c>
      <c r="D16" s="2">
        <f t="shared" si="2"/>
        <v>17.716666666666665</v>
      </c>
      <c r="G16" s="2">
        <v>43.853827160493829</v>
      </c>
      <c r="H16" s="2">
        <f t="shared" si="0"/>
        <v>29.09092592592593</v>
      </c>
      <c r="K16" s="2">
        <v>-0.77966189921563978</v>
      </c>
      <c r="L16" s="2">
        <f t="shared" si="1"/>
        <v>-5.3158176705297128E-2</v>
      </c>
    </row>
    <row r="17" spans="1:12" x14ac:dyDescent="0.2">
      <c r="A17" s="1">
        <v>40147</v>
      </c>
      <c r="C17" s="2">
        <v>11.133333333333333</v>
      </c>
      <c r="D17" s="2">
        <f t="shared" si="2"/>
        <v>17.716666666666665</v>
      </c>
      <c r="G17" s="2">
        <v>39.550123456790118</v>
      </c>
      <c r="H17" s="2">
        <f t="shared" si="0"/>
        <v>29.09092592592593</v>
      </c>
      <c r="K17" s="2">
        <v>-0.453875303371711</v>
      </c>
      <c r="L17" s="2">
        <f t="shared" si="1"/>
        <v>-5.3158176705297128E-2</v>
      </c>
    </row>
    <row r="18" spans="1:12" x14ac:dyDescent="0.2">
      <c r="A18" s="1">
        <v>40178</v>
      </c>
      <c r="C18" s="2">
        <v>12.166666666666666</v>
      </c>
      <c r="D18" s="2">
        <f t="shared" si="2"/>
        <v>17.716666666666665</v>
      </c>
      <c r="G18" s="2">
        <v>35.336419753086425</v>
      </c>
      <c r="H18" s="2">
        <f t="shared" si="0"/>
        <v>29.09092592592593</v>
      </c>
      <c r="K18" s="2">
        <v>0.98536385493319945</v>
      </c>
      <c r="L18" s="2">
        <f t="shared" si="1"/>
        <v>-5.3158176705297128E-2</v>
      </c>
    </row>
    <row r="19" spans="1:12" x14ac:dyDescent="0.2">
      <c r="A19" s="1">
        <v>40209</v>
      </c>
      <c r="C19" s="2">
        <v>13.2</v>
      </c>
      <c r="D19" s="2">
        <f t="shared" si="2"/>
        <v>17.716666666666665</v>
      </c>
      <c r="G19" s="2">
        <v>31.36</v>
      </c>
      <c r="H19" s="2">
        <f t="shared" si="0"/>
        <v>29.09092592592593</v>
      </c>
      <c r="K19" s="2">
        <v>-0.36812455268467525</v>
      </c>
      <c r="L19" s="2">
        <f t="shared" si="1"/>
        <v>-5.3158176705297128E-2</v>
      </c>
    </row>
    <row r="20" spans="1:12" x14ac:dyDescent="0.2">
      <c r="A20" s="1">
        <v>40237</v>
      </c>
      <c r="C20" s="2">
        <v>14.133333333333333</v>
      </c>
      <c r="D20" s="2">
        <f t="shared" si="2"/>
        <v>17.716666666666665</v>
      </c>
      <c r="G20" s="2">
        <v>27.972345679012346</v>
      </c>
      <c r="H20" s="2">
        <f t="shared" si="0"/>
        <v>29.09092592592593</v>
      </c>
      <c r="K20" s="2">
        <v>-2.895548954553856E-2</v>
      </c>
      <c r="L20" s="2">
        <f t="shared" si="1"/>
        <v>-5.3158176705297128E-2</v>
      </c>
    </row>
    <row r="21" spans="1:12" x14ac:dyDescent="0.2">
      <c r="A21" s="1">
        <v>40268</v>
      </c>
      <c r="C21" s="2">
        <v>15.166666666666666</v>
      </c>
      <c r="D21" s="2">
        <f t="shared" si="2"/>
        <v>17.716666666666665</v>
      </c>
      <c r="G21" s="2">
        <v>24.447530864197532</v>
      </c>
      <c r="H21" s="2">
        <f t="shared" si="0"/>
        <v>29.09092592592593</v>
      </c>
      <c r="K21" s="2">
        <v>0.54680573976665903</v>
      </c>
      <c r="L21" s="2">
        <f t="shared" si="1"/>
        <v>-5.3158176705297128E-2</v>
      </c>
    </row>
    <row r="22" spans="1:12" x14ac:dyDescent="0.2">
      <c r="A22" s="1">
        <v>40298</v>
      </c>
      <c r="C22" s="2">
        <v>16.166666666666668</v>
      </c>
      <c r="D22" s="2">
        <f t="shared" si="2"/>
        <v>17.716666666666665</v>
      </c>
      <c r="G22" s="2">
        <v>21.262345679012341</v>
      </c>
      <c r="H22" s="2">
        <f t="shared" si="0"/>
        <v>29.09092592592593</v>
      </c>
      <c r="K22" s="2">
        <v>-0.69790620839007433</v>
      </c>
      <c r="L22" s="2">
        <f t="shared" si="1"/>
        <v>-5.3158176705297128E-2</v>
      </c>
    </row>
    <row r="23" spans="1:12" x14ac:dyDescent="0.2">
      <c r="A23" s="1">
        <v>40329</v>
      </c>
      <c r="C23" s="2">
        <v>17.2</v>
      </c>
      <c r="D23" s="2">
        <f t="shared" si="2"/>
        <v>17.716666666666665</v>
      </c>
      <c r="G23" s="2">
        <v>18.204444444444444</v>
      </c>
      <c r="H23" s="2">
        <f t="shared" si="0"/>
        <v>29.09092592592593</v>
      </c>
      <c r="K23" s="2">
        <v>0.74002251259627194</v>
      </c>
      <c r="L23" s="2">
        <f t="shared" si="1"/>
        <v>-5.3158176705297128E-2</v>
      </c>
    </row>
    <row r="24" spans="1:12" x14ac:dyDescent="0.2">
      <c r="A24" s="1">
        <v>40359</v>
      </c>
      <c r="C24" s="2">
        <v>18.2</v>
      </c>
      <c r="D24" s="2">
        <f t="shared" si="2"/>
        <v>17.716666666666665</v>
      </c>
      <c r="G24" s="2">
        <v>15.471111111111103</v>
      </c>
      <c r="H24" s="2">
        <f t="shared" si="0"/>
        <v>29.09092592592593</v>
      </c>
      <c r="K24" s="2">
        <v>-0.52596654395684472</v>
      </c>
      <c r="L24" s="2">
        <f t="shared" si="1"/>
        <v>-5.3158176705297128E-2</v>
      </c>
    </row>
    <row r="25" spans="1:12" x14ac:dyDescent="0.2">
      <c r="A25" s="1">
        <v>40390</v>
      </c>
      <c r="C25" s="2">
        <v>19.233333333333334</v>
      </c>
      <c r="D25" s="2">
        <f t="shared" si="2"/>
        <v>17.716666666666665</v>
      </c>
      <c r="G25" s="2">
        <v>12.880123456790116</v>
      </c>
      <c r="H25" s="2">
        <f t="shared" si="0"/>
        <v>29.09092592592593</v>
      </c>
      <c r="K25" s="2">
        <v>0.1252049683091177</v>
      </c>
      <c r="L25" s="2">
        <f t="shared" si="1"/>
        <v>-5.3158176705297128E-2</v>
      </c>
    </row>
    <row r="26" spans="1:12" x14ac:dyDescent="0.2">
      <c r="A26" s="1">
        <v>40421</v>
      </c>
      <c r="C26" s="2">
        <v>20.266666666666666</v>
      </c>
      <c r="D26" s="2">
        <f t="shared" si="2"/>
        <v>17.716666666666665</v>
      </c>
      <c r="G26" s="2">
        <v>10.526419753086413</v>
      </c>
      <c r="H26" s="2">
        <f t="shared" si="0"/>
        <v>29.09092592592593</v>
      </c>
      <c r="K26" s="2">
        <v>0.52376565972566735</v>
      </c>
      <c r="L26" s="2">
        <f t="shared" si="1"/>
        <v>-5.3158176705297128E-2</v>
      </c>
    </row>
    <row r="27" spans="1:12" x14ac:dyDescent="0.2">
      <c r="A27" s="1">
        <v>40451</v>
      </c>
      <c r="C27" s="2">
        <v>21.266666666666666</v>
      </c>
      <c r="D27" s="2">
        <f t="shared" si="2"/>
        <v>17.716666666666665</v>
      </c>
      <c r="G27" s="2">
        <v>8.4745679012345647</v>
      </c>
      <c r="H27" s="2">
        <f t="shared" si="0"/>
        <v>29.09092592592593</v>
      </c>
      <c r="K27" s="2">
        <v>-0.99964537775636697</v>
      </c>
      <c r="L27" s="2">
        <f t="shared" si="1"/>
        <v>-5.3158176705297128E-2</v>
      </c>
    </row>
    <row r="28" spans="1:12" x14ac:dyDescent="0.2">
      <c r="A28" s="1">
        <v>40482</v>
      </c>
      <c r="C28" s="2">
        <v>22.3</v>
      </c>
      <c r="D28" s="2">
        <f t="shared" si="2"/>
        <v>17.716666666666665</v>
      </c>
      <c r="G28" s="2">
        <v>6.5877777777777702</v>
      </c>
      <c r="H28" s="2">
        <f t="shared" si="0"/>
        <v>29.09092592592593</v>
      </c>
      <c r="K28" s="2">
        <v>0.41839555168746428</v>
      </c>
      <c r="L28" s="2">
        <f t="shared" si="1"/>
        <v>-5.3158176705297128E-2</v>
      </c>
    </row>
    <row r="29" spans="1:12" x14ac:dyDescent="0.2">
      <c r="A29" s="1">
        <v>40512</v>
      </c>
      <c r="C29" s="2">
        <v>23.3</v>
      </c>
      <c r="D29" s="2">
        <f t="shared" si="2"/>
        <v>17.716666666666665</v>
      </c>
      <c r="G29" s="2">
        <v>4.9877777777777794</v>
      </c>
      <c r="H29" s="2">
        <f t="shared" si="0"/>
        <v>29.09092592592593</v>
      </c>
      <c r="K29" s="2">
        <v>0.85955510426953108</v>
      </c>
      <c r="L29" s="2">
        <f t="shared" si="1"/>
        <v>-5.3158176705297128E-2</v>
      </c>
    </row>
    <row r="30" spans="1:12" x14ac:dyDescent="0.2">
      <c r="A30" s="1">
        <v>40543</v>
      </c>
      <c r="C30" s="2">
        <v>24.333333333333332</v>
      </c>
      <c r="D30" s="2">
        <f t="shared" si="2"/>
        <v>17.716666666666665</v>
      </c>
      <c r="G30" s="2">
        <v>3.5679012345679051</v>
      </c>
      <c r="H30" s="2">
        <f t="shared" si="0"/>
        <v>29.09092592592593</v>
      </c>
      <c r="K30" s="2">
        <v>-0.43720878702660215</v>
      </c>
      <c r="L30" s="2">
        <f t="shared" si="1"/>
        <v>-5.3158176705297128E-2</v>
      </c>
    </row>
    <row r="31" spans="1:12" x14ac:dyDescent="0.2">
      <c r="A31" s="1">
        <v>40574</v>
      </c>
      <c r="C31" s="2">
        <v>25.366666666666667</v>
      </c>
      <c r="D31" s="2">
        <f t="shared" si="2"/>
        <v>17.716666666666665</v>
      </c>
      <c r="G31" s="2">
        <v>2.3853086419753033</v>
      </c>
      <c r="H31" s="2">
        <f t="shared" si="0"/>
        <v>29.09092592592593</v>
      </c>
      <c r="K31" s="2">
        <v>-0.99279611939704904</v>
      </c>
      <c r="L31" s="2">
        <f t="shared" si="1"/>
        <v>-5.3158176705297128E-2</v>
      </c>
    </row>
    <row r="32" spans="1:12" x14ac:dyDescent="0.2">
      <c r="A32" s="1">
        <v>40602</v>
      </c>
      <c r="C32" s="2">
        <v>26.3</v>
      </c>
      <c r="D32" s="2">
        <f t="shared" si="2"/>
        <v>17.716666666666665</v>
      </c>
      <c r="G32" s="2">
        <v>1.5211111111111064</v>
      </c>
      <c r="H32" s="2">
        <f t="shared" si="0"/>
        <v>29.09092592592593</v>
      </c>
      <c r="K32" s="2">
        <v>-0.51902191999140845</v>
      </c>
      <c r="L32" s="2">
        <f t="shared" si="1"/>
        <v>-5.3158176705297128E-2</v>
      </c>
    </row>
    <row r="33" spans="1:12" x14ac:dyDescent="0.2">
      <c r="A33" s="1">
        <v>40633</v>
      </c>
      <c r="C33" s="2">
        <v>27.333333333333332</v>
      </c>
      <c r="D33" s="2">
        <f t="shared" si="2"/>
        <v>17.716666666666665</v>
      </c>
      <c r="G33" s="2">
        <v>0.79012345679012608</v>
      </c>
      <c r="H33" s="2">
        <f t="shared" si="0"/>
        <v>29.09092592592593</v>
      </c>
      <c r="K33" s="2">
        <v>0.21801706949441255</v>
      </c>
      <c r="L33" s="2">
        <f t="shared" si="1"/>
        <v>-5.3158176705297128E-2</v>
      </c>
    </row>
    <row r="34" spans="1:12" x14ac:dyDescent="0.2">
      <c r="A34" s="1">
        <v>40663</v>
      </c>
      <c r="C34" s="2">
        <v>28.333333333333332</v>
      </c>
      <c r="D34" s="2">
        <f t="shared" si="2"/>
        <v>17.716666666666665</v>
      </c>
      <c r="G34" s="2">
        <v>0.30864197530864335</v>
      </c>
      <c r="H34" s="2">
        <f t="shared" si="0"/>
        <v>29.09092592592593</v>
      </c>
      <c r="K34" s="2">
        <v>0.66237794428994134</v>
      </c>
      <c r="L34" s="2">
        <f t="shared" si="1"/>
        <v>-5.3158176705297128E-2</v>
      </c>
    </row>
    <row r="35" spans="1:12" x14ac:dyDescent="0.2">
      <c r="A35" s="1">
        <v>40694</v>
      </c>
      <c r="C35" s="2">
        <v>29.366666666666667</v>
      </c>
      <c r="D35" s="2">
        <f t="shared" si="2"/>
        <v>17.716666666666665</v>
      </c>
      <c r="G35" s="2">
        <v>4.4567901234571217E-2</v>
      </c>
      <c r="H35" s="2">
        <f t="shared" si="0"/>
        <v>29.09092592592593</v>
      </c>
      <c r="K35" s="2">
        <v>0.8417551506259745</v>
      </c>
      <c r="L35" s="2">
        <f t="shared" si="1"/>
        <v>-5.3158176705297128E-2</v>
      </c>
    </row>
    <row r="36" spans="1:12" x14ac:dyDescent="0.2">
      <c r="A36" s="1">
        <v>40724</v>
      </c>
      <c r="C36" s="2">
        <v>30.366666666666667</v>
      </c>
      <c r="D36" s="2">
        <f t="shared" si="2"/>
        <v>17.716666666666665</v>
      </c>
      <c r="G36" s="2">
        <v>1.4938271604947317E-2</v>
      </c>
      <c r="H36" s="2">
        <f t="shared" si="0"/>
        <v>29.09092592592593</v>
      </c>
      <c r="K36" s="2">
        <v>0.8580981001741762</v>
      </c>
      <c r="L36" s="2">
        <f t="shared" si="1"/>
        <v>-5.3158176705297128E-2</v>
      </c>
    </row>
    <row r="37" spans="1:12" x14ac:dyDescent="0.2">
      <c r="A37" s="1">
        <v>40755</v>
      </c>
      <c r="C37" s="2">
        <v>31.4</v>
      </c>
      <c r="D37" s="2">
        <f t="shared" si="2"/>
        <v>17.716666666666665</v>
      </c>
      <c r="G37" s="2">
        <v>0.2177777777777834</v>
      </c>
      <c r="H37" s="2">
        <f t="shared" si="0"/>
        <v>29.09092592592593</v>
      </c>
      <c r="K37" s="2">
        <v>0.73055966559968832</v>
      </c>
      <c r="L37" s="2">
        <f t="shared" si="1"/>
        <v>-5.3158176705297128E-2</v>
      </c>
    </row>
    <row r="38" spans="1:12" x14ac:dyDescent="0.2">
      <c r="A38" s="1">
        <v>40786</v>
      </c>
      <c r="C38" s="2">
        <v>32.43333333333333</v>
      </c>
      <c r="D38" s="2">
        <f t="shared" si="2"/>
        <v>17.716666666666665</v>
      </c>
      <c r="G38" s="2">
        <v>0.65790123456790361</v>
      </c>
      <c r="H38" s="2">
        <f t="shared" si="0"/>
        <v>29.09092592592593</v>
      </c>
      <c r="K38" s="2">
        <v>0.35063118278515398</v>
      </c>
      <c r="L38" s="2">
        <f t="shared" si="1"/>
        <v>-5.3158176705297128E-2</v>
      </c>
    </row>
    <row r="39" spans="1:12" x14ac:dyDescent="0.2">
      <c r="A39" s="1">
        <v>40816</v>
      </c>
      <c r="C39" s="2">
        <v>33.43333333333333</v>
      </c>
      <c r="D39" s="2">
        <f t="shared" si="2"/>
        <v>17.716666666666665</v>
      </c>
      <c r="G39" s="2">
        <v>1.3097530864197404</v>
      </c>
      <c r="H39" s="2">
        <f t="shared" si="0"/>
        <v>29.09092592592593</v>
      </c>
      <c r="K39" s="2">
        <v>-0.31871423672288313</v>
      </c>
      <c r="L39" s="2">
        <f t="shared" si="1"/>
        <v>-5.3158176705297128E-2</v>
      </c>
    </row>
    <row r="40" spans="1:12" x14ac:dyDescent="0.2">
      <c r="A40" s="1">
        <v>40847</v>
      </c>
      <c r="C40" s="2">
        <v>34.466666666666669</v>
      </c>
      <c r="D40" s="2">
        <f t="shared" si="2"/>
        <v>17.716666666666665</v>
      </c>
      <c r="G40" s="2">
        <v>2.2167901234567911</v>
      </c>
      <c r="H40" s="2">
        <f t="shared" si="0"/>
        <v>29.09092592592593</v>
      </c>
      <c r="K40" s="2">
        <v>-0.9563425468516088</v>
      </c>
      <c r="L40" s="2">
        <f t="shared" si="1"/>
        <v>-5.3158176705297128E-2</v>
      </c>
    </row>
    <row r="41" spans="1:12" x14ac:dyDescent="0.2">
      <c r="A41" s="1">
        <v>40877</v>
      </c>
      <c r="C41" s="2">
        <v>35.466666666666669</v>
      </c>
      <c r="D41" s="2">
        <f t="shared" si="2"/>
        <v>17.716666666666665</v>
      </c>
      <c r="G41" s="2">
        <v>3.3204938271604867</v>
      </c>
      <c r="H41" s="2">
        <f t="shared" si="0"/>
        <v>29.09092592592593</v>
      </c>
      <c r="K41" s="2">
        <v>-0.65302904830586272</v>
      </c>
      <c r="L41" s="2">
        <f t="shared" si="1"/>
        <v>-5.3158176705297128E-2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General_Charts">
                <anchor moveWithCells="1" sizeWithCells="1">
                  <from>
                    <xdr:col>13</xdr:col>
                    <xdr:colOff>371475</xdr:colOff>
                    <xdr:row>22</xdr:row>
                    <xdr:rowOff>142875</xdr:rowOff>
                  </from>
                  <to>
                    <xdr:col>15</xdr:col>
                    <xdr:colOff>76200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pane xSplit="1" ySplit="3" topLeftCell="K4" activePane="bottomRight" state="frozen"/>
      <selection pane="topRight" activeCell="B1" sqref="B1"/>
      <selection pane="bottomLeft" activeCell="A4" sqref="A4"/>
      <selection pane="bottomRight" activeCell="Q9" sqref="Q9"/>
    </sheetView>
  </sheetViews>
  <sheetFormatPr defaultRowHeight="12.75" x14ac:dyDescent="0.2"/>
  <cols>
    <col min="1" max="1" width="10.140625" bestFit="1" customWidth="1"/>
  </cols>
  <sheetData>
    <row r="1" spans="1:19" x14ac:dyDescent="0.2">
      <c r="B1" s="2">
        <f>AVERAGE(B$4:B$500)</f>
        <v>17.716666666666665</v>
      </c>
      <c r="C1" s="2">
        <f>AVERAGE(C$4:C$500)</f>
        <v>29.09092592592593</v>
      </c>
      <c r="D1" s="2">
        <f>AVERAGE(D$4:D$500)</f>
        <v>-5.3158176705297072E-2</v>
      </c>
      <c r="E1" s="2"/>
      <c r="G1" s="4" t="s">
        <v>4</v>
      </c>
    </row>
    <row r="2" spans="1:19" x14ac:dyDescent="0.2">
      <c r="B2" s="2">
        <f>STDEV(B$4:B$500)</f>
        <v>10.682121244664575</v>
      </c>
      <c r="C2" s="2">
        <f>STDEV(C$4:C$500)</f>
        <v>31.219144858437044</v>
      </c>
      <c r="D2" s="2">
        <f>STDEV(D$4:D$500)</f>
        <v>0.66212730338101644</v>
      </c>
      <c r="E2" s="2"/>
      <c r="G2" s="4" t="s">
        <v>6</v>
      </c>
    </row>
    <row r="3" spans="1:19" x14ac:dyDescent="0.2">
      <c r="A3" s="3" t="s">
        <v>0</v>
      </c>
      <c r="B3" s="3" t="s">
        <v>1</v>
      </c>
      <c r="C3" s="3" t="s">
        <v>2</v>
      </c>
      <c r="D3" s="3" t="s">
        <v>3</v>
      </c>
      <c r="G3" s="3" t="str">
        <f>B3&amp;" - Avg"</f>
        <v>A - Avg</v>
      </c>
      <c r="H3" s="3" t="str">
        <f>C3&amp;" - Avg"</f>
        <v>B - Avg</v>
      </c>
      <c r="I3" s="3" t="str">
        <f>D3&amp;" - Avg"</f>
        <v>C - Avg</v>
      </c>
      <c r="L3" s="3" t="str">
        <f>G3&amp;"+1std"</f>
        <v>A - Avg+1std</v>
      </c>
      <c r="M3" s="3" t="str">
        <f>H3&amp;"+1std"</f>
        <v>B - Avg+1std</v>
      </c>
      <c r="N3" s="3" t="str">
        <f>I3&amp;"+1std"</f>
        <v>C - Avg+1std</v>
      </c>
      <c r="Q3" s="3" t="str">
        <f>G3&amp;"-1std"</f>
        <v>A - Avg-1std</v>
      </c>
      <c r="R3" s="3" t="str">
        <f>H3&amp;"-1std"</f>
        <v>B - Avg-1std</v>
      </c>
      <c r="S3" s="3" t="str">
        <f>I3&amp;"-1std"</f>
        <v>C - Avg-1std</v>
      </c>
    </row>
    <row r="4" spans="1:19" x14ac:dyDescent="0.2">
      <c r="A4" s="1">
        <v>39813</v>
      </c>
      <c r="B4" s="2">
        <v>0</v>
      </c>
      <c r="C4" s="2">
        <v>100</v>
      </c>
      <c r="D4" s="2">
        <v>0</v>
      </c>
      <c r="E4" s="2"/>
      <c r="G4" s="2">
        <f>B$1</f>
        <v>17.716666666666665</v>
      </c>
      <c r="H4" s="2">
        <f t="shared" ref="H4:H39" si="0">C$1</f>
        <v>29.09092592592593</v>
      </c>
      <c r="I4" s="2">
        <f t="shared" ref="I4:I39" si="1">D$1</f>
        <v>-5.3158176705297072E-2</v>
      </c>
      <c r="J4" s="2"/>
      <c r="L4" s="2">
        <f>B$1+B$2</f>
        <v>28.39878791133124</v>
      </c>
      <c r="M4" s="2">
        <f t="shared" ref="M4:M39" si="2">C$1+C$2</f>
        <v>60.310070784362978</v>
      </c>
      <c r="N4" s="2">
        <f t="shared" ref="N4:N39" si="3">D$1+D$2</f>
        <v>0.60896912667571934</v>
      </c>
      <c r="O4" s="2"/>
      <c r="Q4" s="2">
        <f>B$1-B$2</f>
        <v>7.0345454220020898</v>
      </c>
      <c r="R4" s="2">
        <f t="shared" ref="R4:R39" si="4">C$1-C$2</f>
        <v>-2.128218932511114</v>
      </c>
      <c r="S4" s="2">
        <f t="shared" ref="S4:S39" si="5">D$1-D$2</f>
        <v>-0.71528548008631354</v>
      </c>
    </row>
    <row r="5" spans="1:19" x14ac:dyDescent="0.2">
      <c r="A5" s="1">
        <v>39844</v>
      </c>
      <c r="B5" s="2">
        <v>1.0333333333333334</v>
      </c>
      <c r="C5" s="2">
        <v>93.229753086419748</v>
      </c>
      <c r="D5" s="2">
        <v>-0.72193916955831461</v>
      </c>
      <c r="E5" s="2"/>
      <c r="G5" s="2">
        <f t="shared" ref="G5:G39" si="6">B$1</f>
        <v>17.716666666666665</v>
      </c>
      <c r="H5" s="2">
        <f t="shared" si="0"/>
        <v>29.09092592592593</v>
      </c>
      <c r="I5" s="2">
        <f t="shared" si="1"/>
        <v>-5.3158176705297072E-2</v>
      </c>
      <c r="J5" s="2"/>
      <c r="L5" s="2">
        <f t="shared" ref="L5:L39" si="7">B$1+B$2</f>
        <v>28.39878791133124</v>
      </c>
      <c r="M5" s="2">
        <f t="shared" si="2"/>
        <v>60.310070784362978</v>
      </c>
      <c r="N5" s="2">
        <f t="shared" si="3"/>
        <v>0.60896912667571934</v>
      </c>
      <c r="O5" s="2"/>
      <c r="Q5" s="2">
        <f t="shared" ref="Q5:Q39" si="8">B$1-B$2</f>
        <v>7.0345454220020898</v>
      </c>
      <c r="R5" s="2">
        <f t="shared" si="4"/>
        <v>-2.128218932511114</v>
      </c>
      <c r="S5" s="2">
        <f t="shared" si="5"/>
        <v>-0.71528548008631354</v>
      </c>
    </row>
    <row r="6" spans="1:19" x14ac:dyDescent="0.2">
      <c r="A6" s="1">
        <v>39872</v>
      </c>
      <c r="B6" s="2">
        <v>1.9666666666666666</v>
      </c>
      <c r="C6" s="2">
        <v>87.318641975308637</v>
      </c>
      <c r="D6" s="2">
        <v>-0.65449648078795242</v>
      </c>
      <c r="E6" s="2"/>
      <c r="G6" s="2">
        <f t="shared" si="6"/>
        <v>17.716666666666665</v>
      </c>
      <c r="H6" s="2">
        <f t="shared" si="0"/>
        <v>29.09092592592593</v>
      </c>
      <c r="I6" s="2">
        <f t="shared" si="1"/>
        <v>-5.3158176705297072E-2</v>
      </c>
      <c r="J6" s="2"/>
      <c r="L6" s="2">
        <f t="shared" si="7"/>
        <v>28.39878791133124</v>
      </c>
      <c r="M6" s="2">
        <f t="shared" si="2"/>
        <v>60.310070784362978</v>
      </c>
      <c r="N6" s="2">
        <f t="shared" si="3"/>
        <v>0.60896912667571934</v>
      </c>
      <c r="O6" s="2"/>
      <c r="Q6" s="2">
        <f t="shared" si="8"/>
        <v>7.0345454220020898</v>
      </c>
      <c r="R6" s="2">
        <f t="shared" si="4"/>
        <v>-2.128218932511114</v>
      </c>
      <c r="S6" s="2">
        <f t="shared" si="5"/>
        <v>-0.71528548008631354</v>
      </c>
    </row>
    <row r="7" spans="1:19" x14ac:dyDescent="0.2">
      <c r="A7" s="1">
        <v>39903</v>
      </c>
      <c r="B7" s="2">
        <v>3</v>
      </c>
      <c r="C7" s="2">
        <v>81</v>
      </c>
      <c r="D7" s="2">
        <v>-0.86602540378443771</v>
      </c>
      <c r="E7" s="2"/>
      <c r="G7" s="2">
        <f t="shared" si="6"/>
        <v>17.716666666666665</v>
      </c>
      <c r="H7" s="2">
        <f t="shared" si="0"/>
        <v>29.09092592592593</v>
      </c>
      <c r="I7" s="2">
        <f t="shared" si="1"/>
        <v>-5.3158176705297072E-2</v>
      </c>
      <c r="J7" s="2"/>
      <c r="L7" s="2">
        <f t="shared" si="7"/>
        <v>28.39878791133124</v>
      </c>
      <c r="M7" s="2">
        <f t="shared" si="2"/>
        <v>60.310070784362978</v>
      </c>
      <c r="N7" s="2">
        <f t="shared" si="3"/>
        <v>0.60896912667571934</v>
      </c>
      <c r="O7" s="2"/>
      <c r="Q7" s="2">
        <f t="shared" si="8"/>
        <v>7.0345454220020898</v>
      </c>
      <c r="R7" s="2">
        <f t="shared" si="4"/>
        <v>-2.128218932511114</v>
      </c>
      <c r="S7" s="2">
        <f t="shared" si="5"/>
        <v>-0.71528548008631354</v>
      </c>
    </row>
    <row r="8" spans="1:19" x14ac:dyDescent="0.2">
      <c r="A8" s="1">
        <v>39933</v>
      </c>
      <c r="B8" s="2">
        <v>4</v>
      </c>
      <c r="C8" s="2">
        <v>75.1111111111111</v>
      </c>
      <c r="D8" s="2">
        <v>-0.80212319275505173</v>
      </c>
      <c r="E8" s="2"/>
      <c r="G8" s="2">
        <f t="shared" si="6"/>
        <v>17.716666666666665</v>
      </c>
      <c r="H8" s="2">
        <f t="shared" si="0"/>
        <v>29.09092592592593</v>
      </c>
      <c r="I8" s="2">
        <f t="shared" si="1"/>
        <v>-5.3158176705297072E-2</v>
      </c>
      <c r="J8" s="2"/>
      <c r="L8" s="2">
        <f t="shared" si="7"/>
        <v>28.39878791133124</v>
      </c>
      <c r="M8" s="2">
        <f t="shared" si="2"/>
        <v>60.310070784362978</v>
      </c>
      <c r="N8" s="2">
        <f t="shared" si="3"/>
        <v>0.60896912667571934</v>
      </c>
      <c r="O8" s="2"/>
      <c r="Q8" s="2">
        <f t="shared" si="8"/>
        <v>7.0345454220020898</v>
      </c>
      <c r="R8" s="2">
        <f t="shared" si="4"/>
        <v>-2.128218932511114</v>
      </c>
      <c r="S8" s="2">
        <f t="shared" si="5"/>
        <v>-0.71528548008631354</v>
      </c>
    </row>
    <row r="9" spans="1:19" x14ac:dyDescent="0.2">
      <c r="A9" s="1">
        <v>39964</v>
      </c>
      <c r="B9" s="2">
        <v>5.0333333333333332</v>
      </c>
      <c r="C9" s="2">
        <v>69.259382716049387</v>
      </c>
      <c r="D9" s="2">
        <v>-0.70012504247490281</v>
      </c>
      <c r="E9" s="2"/>
      <c r="G9" s="2">
        <f t="shared" si="6"/>
        <v>17.716666666666665</v>
      </c>
      <c r="H9" s="2">
        <f t="shared" si="0"/>
        <v>29.09092592592593</v>
      </c>
      <c r="I9" s="2">
        <f t="shared" si="1"/>
        <v>-5.3158176705297072E-2</v>
      </c>
      <c r="J9" s="2"/>
      <c r="L9" s="2">
        <f t="shared" si="7"/>
        <v>28.39878791133124</v>
      </c>
      <c r="M9" s="2">
        <f t="shared" si="2"/>
        <v>60.310070784362978</v>
      </c>
      <c r="N9" s="2">
        <f t="shared" si="3"/>
        <v>0.60896912667571934</v>
      </c>
      <c r="O9" s="2"/>
      <c r="Q9" s="2">
        <f t="shared" si="8"/>
        <v>7.0345454220020898</v>
      </c>
      <c r="R9" s="2">
        <f t="shared" si="4"/>
        <v>-2.128218932511114</v>
      </c>
      <c r="S9" s="2">
        <f t="shared" si="5"/>
        <v>-0.71528548008631354</v>
      </c>
    </row>
    <row r="10" spans="1:19" x14ac:dyDescent="0.2">
      <c r="A10" s="1">
        <v>39994</v>
      </c>
      <c r="B10" s="2">
        <v>6.0333333333333332</v>
      </c>
      <c r="C10" s="2">
        <v>63.822345679012351</v>
      </c>
      <c r="D10" s="2">
        <v>-0.18496787178773766</v>
      </c>
      <c r="E10" s="2"/>
      <c r="G10" s="2">
        <f t="shared" si="6"/>
        <v>17.716666666666665</v>
      </c>
      <c r="H10" s="2">
        <f t="shared" si="0"/>
        <v>29.09092592592593</v>
      </c>
      <c r="I10" s="2">
        <f t="shared" si="1"/>
        <v>-5.3158176705297072E-2</v>
      </c>
      <c r="J10" s="2"/>
      <c r="L10" s="2">
        <f t="shared" si="7"/>
        <v>28.39878791133124</v>
      </c>
      <c r="M10" s="2">
        <f t="shared" si="2"/>
        <v>60.310070784362978</v>
      </c>
      <c r="N10" s="2">
        <f t="shared" si="3"/>
        <v>0.60896912667571934</v>
      </c>
      <c r="O10" s="2"/>
      <c r="Q10" s="2">
        <f t="shared" si="8"/>
        <v>7.0345454220020898</v>
      </c>
      <c r="R10" s="2">
        <f t="shared" si="4"/>
        <v>-2.128218932511114</v>
      </c>
      <c r="S10" s="2">
        <f t="shared" si="5"/>
        <v>-0.71528548008631354</v>
      </c>
    </row>
    <row r="11" spans="1:19" x14ac:dyDescent="0.2">
      <c r="A11" s="1">
        <v>40025</v>
      </c>
      <c r="B11" s="2">
        <v>7.0666666666666664</v>
      </c>
      <c r="C11" s="2">
        <v>58.437530864197541</v>
      </c>
      <c r="D11" s="2">
        <v>0.44231767773301123</v>
      </c>
      <c r="E11" s="2"/>
      <c r="G11" s="2">
        <f t="shared" si="6"/>
        <v>17.716666666666665</v>
      </c>
      <c r="H11" s="2">
        <f t="shared" si="0"/>
        <v>29.09092592592593</v>
      </c>
      <c r="I11" s="2">
        <f t="shared" si="1"/>
        <v>-5.3158176705297072E-2</v>
      </c>
      <c r="J11" s="2"/>
      <c r="L11" s="2">
        <f t="shared" si="7"/>
        <v>28.39878791133124</v>
      </c>
      <c r="M11" s="2">
        <f t="shared" si="2"/>
        <v>60.310070784362978</v>
      </c>
      <c r="N11" s="2">
        <f t="shared" si="3"/>
        <v>0.60896912667571934</v>
      </c>
      <c r="O11" s="2"/>
      <c r="Q11" s="2">
        <f t="shared" si="8"/>
        <v>7.0345454220020898</v>
      </c>
      <c r="R11" s="2">
        <f t="shared" si="4"/>
        <v>-2.128218932511114</v>
      </c>
      <c r="S11" s="2">
        <f t="shared" si="5"/>
        <v>-0.71528548008631354</v>
      </c>
    </row>
    <row r="12" spans="1:19" x14ac:dyDescent="0.2">
      <c r="A12" s="1">
        <v>40056</v>
      </c>
      <c r="B12" s="2">
        <v>8.1</v>
      </c>
      <c r="C12" s="2">
        <v>53.29</v>
      </c>
      <c r="D12" s="2">
        <v>0.97591676193874888</v>
      </c>
      <c r="E12" s="2"/>
      <c r="G12" s="2">
        <f t="shared" si="6"/>
        <v>17.716666666666665</v>
      </c>
      <c r="H12" s="2">
        <f t="shared" si="0"/>
        <v>29.09092592592593</v>
      </c>
      <c r="I12" s="2">
        <f t="shared" si="1"/>
        <v>-5.3158176705297072E-2</v>
      </c>
      <c r="J12" s="2"/>
      <c r="L12" s="2">
        <f t="shared" si="7"/>
        <v>28.39878791133124</v>
      </c>
      <c r="M12" s="2">
        <f t="shared" si="2"/>
        <v>60.310070784362978</v>
      </c>
      <c r="N12" s="2">
        <f t="shared" si="3"/>
        <v>0.60896912667571934</v>
      </c>
      <c r="O12" s="2"/>
      <c r="Q12" s="2">
        <f t="shared" si="8"/>
        <v>7.0345454220020898</v>
      </c>
      <c r="R12" s="2">
        <f t="shared" si="4"/>
        <v>-2.128218932511114</v>
      </c>
      <c r="S12" s="2">
        <f t="shared" si="5"/>
        <v>-0.71528548008631354</v>
      </c>
    </row>
    <row r="13" spans="1:19" x14ac:dyDescent="0.2">
      <c r="A13" s="1">
        <v>40086</v>
      </c>
      <c r="B13" s="2">
        <v>9.1</v>
      </c>
      <c r="C13" s="2">
        <v>48.534444444444446</v>
      </c>
      <c r="D13" s="2">
        <v>0.46844388904494844</v>
      </c>
      <c r="E13" s="2"/>
      <c r="G13" s="2">
        <f t="shared" si="6"/>
        <v>17.716666666666665</v>
      </c>
      <c r="H13" s="2">
        <f t="shared" si="0"/>
        <v>29.09092592592593</v>
      </c>
      <c r="I13" s="2">
        <f t="shared" si="1"/>
        <v>-5.3158176705297072E-2</v>
      </c>
      <c r="J13" s="2"/>
      <c r="L13" s="2">
        <f t="shared" si="7"/>
        <v>28.39878791133124</v>
      </c>
      <c r="M13" s="2">
        <f t="shared" si="2"/>
        <v>60.310070784362978</v>
      </c>
      <c r="N13" s="2">
        <f t="shared" si="3"/>
        <v>0.60896912667571934</v>
      </c>
      <c r="O13" s="2"/>
      <c r="Q13" s="2">
        <f t="shared" si="8"/>
        <v>7.0345454220020898</v>
      </c>
      <c r="R13" s="2">
        <f t="shared" si="4"/>
        <v>-2.128218932511114</v>
      </c>
      <c r="S13" s="2">
        <f t="shared" si="5"/>
        <v>-0.71528548008631354</v>
      </c>
    </row>
    <row r="14" spans="1:19" x14ac:dyDescent="0.2">
      <c r="A14" s="1">
        <v>40117</v>
      </c>
      <c r="B14" s="2">
        <v>10.133333333333333</v>
      </c>
      <c r="C14" s="2">
        <v>43.853827160493829</v>
      </c>
      <c r="D14" s="2">
        <v>-0.77966189921563978</v>
      </c>
      <c r="E14" s="2"/>
      <c r="G14" s="2">
        <f t="shared" si="6"/>
        <v>17.716666666666665</v>
      </c>
      <c r="H14" s="2">
        <f t="shared" si="0"/>
        <v>29.09092592592593</v>
      </c>
      <c r="I14" s="2">
        <f t="shared" si="1"/>
        <v>-5.3158176705297072E-2</v>
      </c>
      <c r="J14" s="2"/>
      <c r="L14" s="2">
        <f t="shared" si="7"/>
        <v>28.39878791133124</v>
      </c>
      <c r="M14" s="2">
        <f t="shared" si="2"/>
        <v>60.310070784362978</v>
      </c>
      <c r="N14" s="2">
        <f t="shared" si="3"/>
        <v>0.60896912667571934</v>
      </c>
      <c r="O14" s="2"/>
      <c r="Q14" s="2">
        <f t="shared" si="8"/>
        <v>7.0345454220020898</v>
      </c>
      <c r="R14" s="2">
        <f t="shared" si="4"/>
        <v>-2.128218932511114</v>
      </c>
      <c r="S14" s="2">
        <f t="shared" si="5"/>
        <v>-0.71528548008631354</v>
      </c>
    </row>
    <row r="15" spans="1:19" x14ac:dyDescent="0.2">
      <c r="A15" s="1">
        <v>40147</v>
      </c>
      <c r="B15" s="2">
        <v>11.133333333333333</v>
      </c>
      <c r="C15" s="2">
        <v>39.550123456790118</v>
      </c>
      <c r="D15" s="2">
        <v>-0.453875303371711</v>
      </c>
      <c r="E15" s="2"/>
      <c r="G15" s="2">
        <f t="shared" si="6"/>
        <v>17.716666666666665</v>
      </c>
      <c r="H15" s="2">
        <f t="shared" si="0"/>
        <v>29.09092592592593</v>
      </c>
      <c r="I15" s="2">
        <f t="shared" si="1"/>
        <v>-5.3158176705297072E-2</v>
      </c>
      <c r="J15" s="2"/>
      <c r="L15" s="2">
        <f t="shared" si="7"/>
        <v>28.39878791133124</v>
      </c>
      <c r="M15" s="2">
        <f t="shared" si="2"/>
        <v>60.310070784362978</v>
      </c>
      <c r="N15" s="2">
        <f t="shared" si="3"/>
        <v>0.60896912667571934</v>
      </c>
      <c r="O15" s="2"/>
      <c r="Q15" s="2">
        <f t="shared" si="8"/>
        <v>7.0345454220020898</v>
      </c>
      <c r="R15" s="2">
        <f t="shared" si="4"/>
        <v>-2.128218932511114</v>
      </c>
      <c r="S15" s="2">
        <f t="shared" si="5"/>
        <v>-0.71528548008631354</v>
      </c>
    </row>
    <row r="16" spans="1:19" x14ac:dyDescent="0.2">
      <c r="A16" s="1">
        <v>40178</v>
      </c>
      <c r="B16" s="2">
        <v>12.166666666666666</v>
      </c>
      <c r="C16" s="2">
        <v>35.336419753086425</v>
      </c>
      <c r="D16" s="2">
        <v>0.98536385493319945</v>
      </c>
      <c r="E16" s="2"/>
      <c r="G16" s="2">
        <f t="shared" si="6"/>
        <v>17.716666666666665</v>
      </c>
      <c r="H16" s="2">
        <f t="shared" si="0"/>
        <v>29.09092592592593</v>
      </c>
      <c r="I16" s="2">
        <f t="shared" si="1"/>
        <v>-5.3158176705297072E-2</v>
      </c>
      <c r="J16" s="2"/>
      <c r="L16" s="2">
        <f t="shared" si="7"/>
        <v>28.39878791133124</v>
      </c>
      <c r="M16" s="2">
        <f t="shared" si="2"/>
        <v>60.310070784362978</v>
      </c>
      <c r="N16" s="2">
        <f t="shared" si="3"/>
        <v>0.60896912667571934</v>
      </c>
      <c r="O16" s="2"/>
      <c r="Q16" s="2">
        <f t="shared" si="8"/>
        <v>7.0345454220020898</v>
      </c>
      <c r="R16" s="2">
        <f t="shared" si="4"/>
        <v>-2.128218932511114</v>
      </c>
      <c r="S16" s="2">
        <f t="shared" si="5"/>
        <v>-0.71528548008631354</v>
      </c>
    </row>
    <row r="17" spans="1:19" x14ac:dyDescent="0.2">
      <c r="A17" s="1">
        <v>40209</v>
      </c>
      <c r="B17" s="2">
        <v>13.2</v>
      </c>
      <c r="C17" s="2">
        <v>31.36</v>
      </c>
      <c r="D17" s="2">
        <v>-0.36812455268467525</v>
      </c>
      <c r="E17" s="2"/>
      <c r="G17" s="2">
        <f t="shared" si="6"/>
        <v>17.716666666666665</v>
      </c>
      <c r="H17" s="2">
        <f t="shared" si="0"/>
        <v>29.09092592592593</v>
      </c>
      <c r="I17" s="2">
        <f t="shared" si="1"/>
        <v>-5.3158176705297072E-2</v>
      </c>
      <c r="J17" s="2"/>
      <c r="L17" s="2">
        <f t="shared" si="7"/>
        <v>28.39878791133124</v>
      </c>
      <c r="M17" s="2">
        <f t="shared" si="2"/>
        <v>60.310070784362978</v>
      </c>
      <c r="N17" s="2">
        <f t="shared" si="3"/>
        <v>0.60896912667571934</v>
      </c>
      <c r="O17" s="2"/>
      <c r="Q17" s="2">
        <f t="shared" si="8"/>
        <v>7.0345454220020898</v>
      </c>
      <c r="R17" s="2">
        <f t="shared" si="4"/>
        <v>-2.128218932511114</v>
      </c>
      <c r="S17" s="2">
        <f t="shared" si="5"/>
        <v>-0.71528548008631354</v>
      </c>
    </row>
    <row r="18" spans="1:19" x14ac:dyDescent="0.2">
      <c r="A18" s="1">
        <v>40237</v>
      </c>
      <c r="B18" s="2">
        <v>14.133333333333333</v>
      </c>
      <c r="C18" s="2">
        <v>27.972345679012346</v>
      </c>
      <c r="D18" s="2">
        <v>-2.895548954553856E-2</v>
      </c>
      <c r="E18" s="2"/>
      <c r="G18" s="2">
        <f t="shared" si="6"/>
        <v>17.716666666666665</v>
      </c>
      <c r="H18" s="2">
        <f t="shared" si="0"/>
        <v>29.09092592592593</v>
      </c>
      <c r="I18" s="2">
        <f t="shared" si="1"/>
        <v>-5.3158176705297072E-2</v>
      </c>
      <c r="J18" s="2"/>
      <c r="L18" s="2">
        <f t="shared" si="7"/>
        <v>28.39878791133124</v>
      </c>
      <c r="M18" s="2">
        <f t="shared" si="2"/>
        <v>60.310070784362978</v>
      </c>
      <c r="N18" s="2">
        <f t="shared" si="3"/>
        <v>0.60896912667571934</v>
      </c>
      <c r="O18" s="2"/>
      <c r="Q18" s="2">
        <f t="shared" si="8"/>
        <v>7.0345454220020898</v>
      </c>
      <c r="R18" s="2">
        <f t="shared" si="4"/>
        <v>-2.128218932511114</v>
      </c>
      <c r="S18" s="2">
        <f t="shared" si="5"/>
        <v>-0.71528548008631354</v>
      </c>
    </row>
    <row r="19" spans="1:19" x14ac:dyDescent="0.2">
      <c r="A19" s="1">
        <v>40268</v>
      </c>
      <c r="B19" s="2">
        <v>15.166666666666666</v>
      </c>
      <c r="C19" s="2">
        <v>24.447530864197532</v>
      </c>
      <c r="D19" s="2">
        <v>0.54680573976665903</v>
      </c>
      <c r="E19" s="2"/>
      <c r="G19" s="2">
        <f t="shared" si="6"/>
        <v>17.716666666666665</v>
      </c>
      <c r="H19" s="2">
        <f t="shared" si="0"/>
        <v>29.09092592592593</v>
      </c>
      <c r="I19" s="2">
        <f t="shared" si="1"/>
        <v>-5.3158176705297072E-2</v>
      </c>
      <c r="J19" s="2"/>
      <c r="L19" s="2">
        <f t="shared" si="7"/>
        <v>28.39878791133124</v>
      </c>
      <c r="M19" s="2">
        <f t="shared" si="2"/>
        <v>60.310070784362978</v>
      </c>
      <c r="N19" s="2">
        <f t="shared" si="3"/>
        <v>0.60896912667571934</v>
      </c>
      <c r="O19" s="2"/>
      <c r="Q19" s="2">
        <f t="shared" si="8"/>
        <v>7.0345454220020898</v>
      </c>
      <c r="R19" s="2">
        <f t="shared" si="4"/>
        <v>-2.128218932511114</v>
      </c>
      <c r="S19" s="2">
        <f t="shared" si="5"/>
        <v>-0.71528548008631354</v>
      </c>
    </row>
    <row r="20" spans="1:19" x14ac:dyDescent="0.2">
      <c r="A20" s="1">
        <v>40298</v>
      </c>
      <c r="B20" s="2">
        <v>16.166666666666668</v>
      </c>
      <c r="C20" s="2">
        <v>21.262345679012341</v>
      </c>
      <c r="D20" s="2">
        <v>-0.69790620839007433</v>
      </c>
      <c r="E20" s="2"/>
      <c r="G20" s="2">
        <f t="shared" si="6"/>
        <v>17.716666666666665</v>
      </c>
      <c r="H20" s="2">
        <f t="shared" si="0"/>
        <v>29.09092592592593</v>
      </c>
      <c r="I20" s="2">
        <f t="shared" si="1"/>
        <v>-5.3158176705297072E-2</v>
      </c>
      <c r="J20" s="2"/>
      <c r="L20" s="2">
        <f t="shared" si="7"/>
        <v>28.39878791133124</v>
      </c>
      <c r="M20" s="2">
        <f t="shared" si="2"/>
        <v>60.310070784362978</v>
      </c>
      <c r="N20" s="2">
        <f t="shared" si="3"/>
        <v>0.60896912667571934</v>
      </c>
      <c r="O20" s="2"/>
      <c r="Q20" s="2">
        <f t="shared" si="8"/>
        <v>7.0345454220020898</v>
      </c>
      <c r="R20" s="2">
        <f t="shared" si="4"/>
        <v>-2.128218932511114</v>
      </c>
      <c r="S20" s="2">
        <f t="shared" si="5"/>
        <v>-0.71528548008631354</v>
      </c>
    </row>
    <row r="21" spans="1:19" x14ac:dyDescent="0.2">
      <c r="A21" s="1">
        <v>40329</v>
      </c>
      <c r="B21" s="2">
        <v>17.2</v>
      </c>
      <c r="C21" s="2">
        <v>18.204444444444444</v>
      </c>
      <c r="D21" s="2">
        <v>0.74002251259627194</v>
      </c>
      <c r="E21" s="2"/>
      <c r="G21" s="2">
        <f t="shared" si="6"/>
        <v>17.716666666666665</v>
      </c>
      <c r="H21" s="2">
        <f t="shared" si="0"/>
        <v>29.09092592592593</v>
      </c>
      <c r="I21" s="2">
        <f t="shared" si="1"/>
        <v>-5.3158176705297072E-2</v>
      </c>
      <c r="J21" s="2"/>
      <c r="L21" s="2">
        <f t="shared" si="7"/>
        <v>28.39878791133124</v>
      </c>
      <c r="M21" s="2">
        <f t="shared" si="2"/>
        <v>60.310070784362978</v>
      </c>
      <c r="N21" s="2">
        <f t="shared" si="3"/>
        <v>0.60896912667571934</v>
      </c>
      <c r="O21" s="2"/>
      <c r="Q21" s="2">
        <f t="shared" si="8"/>
        <v>7.0345454220020898</v>
      </c>
      <c r="R21" s="2">
        <f t="shared" si="4"/>
        <v>-2.128218932511114</v>
      </c>
      <c r="S21" s="2">
        <f t="shared" si="5"/>
        <v>-0.71528548008631354</v>
      </c>
    </row>
    <row r="22" spans="1:19" x14ac:dyDescent="0.2">
      <c r="A22" s="1">
        <v>40359</v>
      </c>
      <c r="B22" s="2">
        <v>18.2</v>
      </c>
      <c r="C22" s="2">
        <v>15.471111111111103</v>
      </c>
      <c r="D22" s="2">
        <v>-0.52596654395684472</v>
      </c>
      <c r="E22" s="2"/>
      <c r="G22" s="2">
        <f t="shared" si="6"/>
        <v>17.716666666666665</v>
      </c>
      <c r="H22" s="2">
        <f t="shared" si="0"/>
        <v>29.09092592592593</v>
      </c>
      <c r="I22" s="2">
        <f t="shared" si="1"/>
        <v>-5.3158176705297072E-2</v>
      </c>
      <c r="J22" s="2"/>
      <c r="L22" s="2">
        <f t="shared" si="7"/>
        <v>28.39878791133124</v>
      </c>
      <c r="M22" s="2">
        <f t="shared" si="2"/>
        <v>60.310070784362978</v>
      </c>
      <c r="N22" s="2">
        <f t="shared" si="3"/>
        <v>0.60896912667571934</v>
      </c>
      <c r="O22" s="2"/>
      <c r="Q22" s="2">
        <f t="shared" si="8"/>
        <v>7.0345454220020898</v>
      </c>
      <c r="R22" s="2">
        <f t="shared" si="4"/>
        <v>-2.128218932511114</v>
      </c>
      <c r="S22" s="2">
        <f t="shared" si="5"/>
        <v>-0.71528548008631354</v>
      </c>
    </row>
    <row r="23" spans="1:19" x14ac:dyDescent="0.2">
      <c r="A23" s="1">
        <v>40390</v>
      </c>
      <c r="B23" s="2">
        <v>19.233333333333334</v>
      </c>
      <c r="C23" s="2">
        <v>12.880123456790116</v>
      </c>
      <c r="D23" s="2">
        <v>0.1252049683091177</v>
      </c>
      <c r="E23" s="2"/>
      <c r="G23" s="2">
        <f t="shared" si="6"/>
        <v>17.716666666666665</v>
      </c>
      <c r="H23" s="2">
        <f t="shared" si="0"/>
        <v>29.09092592592593</v>
      </c>
      <c r="I23" s="2">
        <f t="shared" si="1"/>
        <v>-5.3158176705297072E-2</v>
      </c>
      <c r="J23" s="2"/>
      <c r="L23" s="2">
        <f t="shared" si="7"/>
        <v>28.39878791133124</v>
      </c>
      <c r="M23" s="2">
        <f t="shared" si="2"/>
        <v>60.310070784362978</v>
      </c>
      <c r="N23" s="2">
        <f t="shared" si="3"/>
        <v>0.60896912667571934</v>
      </c>
      <c r="O23" s="2"/>
      <c r="Q23" s="2">
        <f t="shared" si="8"/>
        <v>7.0345454220020898</v>
      </c>
      <c r="R23" s="2">
        <f t="shared" si="4"/>
        <v>-2.128218932511114</v>
      </c>
      <c r="S23" s="2">
        <f t="shared" si="5"/>
        <v>-0.71528548008631354</v>
      </c>
    </row>
    <row r="24" spans="1:19" x14ac:dyDescent="0.2">
      <c r="A24" s="1">
        <v>40421</v>
      </c>
      <c r="B24" s="2">
        <v>20.266666666666666</v>
      </c>
      <c r="C24" s="2">
        <v>10.526419753086413</v>
      </c>
      <c r="D24" s="2">
        <v>0.52376565972566735</v>
      </c>
      <c r="E24" s="2"/>
      <c r="G24" s="2">
        <f t="shared" si="6"/>
        <v>17.716666666666665</v>
      </c>
      <c r="H24" s="2">
        <f t="shared" si="0"/>
        <v>29.09092592592593</v>
      </c>
      <c r="I24" s="2">
        <f t="shared" si="1"/>
        <v>-5.3158176705297072E-2</v>
      </c>
      <c r="J24" s="2"/>
      <c r="L24" s="2">
        <f t="shared" si="7"/>
        <v>28.39878791133124</v>
      </c>
      <c r="M24" s="2">
        <f t="shared" si="2"/>
        <v>60.310070784362978</v>
      </c>
      <c r="N24" s="2">
        <f t="shared" si="3"/>
        <v>0.60896912667571934</v>
      </c>
      <c r="O24" s="2"/>
      <c r="Q24" s="2">
        <f t="shared" si="8"/>
        <v>7.0345454220020898</v>
      </c>
      <c r="R24" s="2">
        <f t="shared" si="4"/>
        <v>-2.128218932511114</v>
      </c>
      <c r="S24" s="2">
        <f t="shared" si="5"/>
        <v>-0.71528548008631354</v>
      </c>
    </row>
    <row r="25" spans="1:19" x14ac:dyDescent="0.2">
      <c r="A25" s="1">
        <v>40451</v>
      </c>
      <c r="B25" s="2">
        <v>21.266666666666666</v>
      </c>
      <c r="C25" s="2">
        <v>8.4745679012345647</v>
      </c>
      <c r="D25" s="2">
        <v>-0.99964537775636697</v>
      </c>
      <c r="E25" s="2"/>
      <c r="G25" s="2">
        <f t="shared" si="6"/>
        <v>17.716666666666665</v>
      </c>
      <c r="H25" s="2">
        <f t="shared" si="0"/>
        <v>29.09092592592593</v>
      </c>
      <c r="I25" s="2">
        <f t="shared" si="1"/>
        <v>-5.3158176705297072E-2</v>
      </c>
      <c r="J25" s="2"/>
      <c r="L25" s="2">
        <f t="shared" si="7"/>
        <v>28.39878791133124</v>
      </c>
      <c r="M25" s="2">
        <f t="shared" si="2"/>
        <v>60.310070784362978</v>
      </c>
      <c r="N25" s="2">
        <f t="shared" si="3"/>
        <v>0.60896912667571934</v>
      </c>
      <c r="O25" s="2"/>
      <c r="Q25" s="2">
        <f t="shared" si="8"/>
        <v>7.0345454220020898</v>
      </c>
      <c r="R25" s="2">
        <f t="shared" si="4"/>
        <v>-2.128218932511114</v>
      </c>
      <c r="S25" s="2">
        <f t="shared" si="5"/>
        <v>-0.71528548008631354</v>
      </c>
    </row>
    <row r="26" spans="1:19" x14ac:dyDescent="0.2">
      <c r="A26" s="1">
        <v>40482</v>
      </c>
      <c r="B26" s="2">
        <v>22.3</v>
      </c>
      <c r="C26" s="2">
        <v>6.5877777777777702</v>
      </c>
      <c r="D26" s="2">
        <v>0.41839555168746428</v>
      </c>
      <c r="E26" s="2"/>
      <c r="G26" s="2">
        <f t="shared" si="6"/>
        <v>17.716666666666665</v>
      </c>
      <c r="H26" s="2">
        <f t="shared" si="0"/>
        <v>29.09092592592593</v>
      </c>
      <c r="I26" s="2">
        <f t="shared" si="1"/>
        <v>-5.3158176705297072E-2</v>
      </c>
      <c r="J26" s="2"/>
      <c r="L26" s="2">
        <f t="shared" si="7"/>
        <v>28.39878791133124</v>
      </c>
      <c r="M26" s="2">
        <f t="shared" si="2"/>
        <v>60.310070784362978</v>
      </c>
      <c r="N26" s="2">
        <f t="shared" si="3"/>
        <v>0.60896912667571934</v>
      </c>
      <c r="O26" s="2"/>
      <c r="Q26" s="2">
        <f t="shared" si="8"/>
        <v>7.0345454220020898</v>
      </c>
      <c r="R26" s="2">
        <f t="shared" si="4"/>
        <v>-2.128218932511114</v>
      </c>
      <c r="S26" s="2">
        <f t="shared" si="5"/>
        <v>-0.71528548008631354</v>
      </c>
    </row>
    <row r="27" spans="1:19" x14ac:dyDescent="0.2">
      <c r="A27" s="1">
        <v>40512</v>
      </c>
      <c r="B27" s="2">
        <v>23.3</v>
      </c>
      <c r="C27" s="2">
        <v>4.9877777777777794</v>
      </c>
      <c r="D27" s="2">
        <v>0.85955510426953108</v>
      </c>
      <c r="E27" s="2"/>
      <c r="G27" s="2">
        <f t="shared" si="6"/>
        <v>17.716666666666665</v>
      </c>
      <c r="H27" s="2">
        <f t="shared" si="0"/>
        <v>29.09092592592593</v>
      </c>
      <c r="I27" s="2">
        <f t="shared" si="1"/>
        <v>-5.3158176705297072E-2</v>
      </c>
      <c r="J27" s="2"/>
      <c r="L27" s="2">
        <f t="shared" si="7"/>
        <v>28.39878791133124</v>
      </c>
      <c r="M27" s="2">
        <f t="shared" si="2"/>
        <v>60.310070784362978</v>
      </c>
      <c r="N27" s="2">
        <f t="shared" si="3"/>
        <v>0.60896912667571934</v>
      </c>
      <c r="O27" s="2"/>
      <c r="Q27" s="2">
        <f t="shared" si="8"/>
        <v>7.0345454220020898</v>
      </c>
      <c r="R27" s="2">
        <f t="shared" si="4"/>
        <v>-2.128218932511114</v>
      </c>
      <c r="S27" s="2">
        <f t="shared" si="5"/>
        <v>-0.71528548008631354</v>
      </c>
    </row>
    <row r="28" spans="1:19" x14ac:dyDescent="0.2">
      <c r="A28" s="1">
        <v>40543</v>
      </c>
      <c r="B28" s="2">
        <v>24.333333333333332</v>
      </c>
      <c r="C28" s="2">
        <v>3.5679012345679051</v>
      </c>
      <c r="D28" s="2">
        <v>-0.43720878702660215</v>
      </c>
      <c r="E28" s="2"/>
      <c r="G28" s="2">
        <f t="shared" si="6"/>
        <v>17.716666666666665</v>
      </c>
      <c r="H28" s="2">
        <f t="shared" si="0"/>
        <v>29.09092592592593</v>
      </c>
      <c r="I28" s="2">
        <f t="shared" si="1"/>
        <v>-5.3158176705297072E-2</v>
      </c>
      <c r="J28" s="2"/>
      <c r="L28" s="2">
        <f t="shared" si="7"/>
        <v>28.39878791133124</v>
      </c>
      <c r="M28" s="2">
        <f t="shared" si="2"/>
        <v>60.310070784362978</v>
      </c>
      <c r="N28" s="2">
        <f t="shared" si="3"/>
        <v>0.60896912667571934</v>
      </c>
      <c r="O28" s="2"/>
      <c r="Q28" s="2">
        <f t="shared" si="8"/>
        <v>7.0345454220020898</v>
      </c>
      <c r="R28" s="2">
        <f t="shared" si="4"/>
        <v>-2.128218932511114</v>
      </c>
      <c r="S28" s="2">
        <f t="shared" si="5"/>
        <v>-0.71528548008631354</v>
      </c>
    </row>
    <row r="29" spans="1:19" x14ac:dyDescent="0.2">
      <c r="A29" s="1">
        <v>40574</v>
      </c>
      <c r="B29" s="2">
        <v>25.366666666666667</v>
      </c>
      <c r="C29" s="2">
        <v>2.3853086419753033</v>
      </c>
      <c r="D29" s="2">
        <v>-0.99279611939704904</v>
      </c>
      <c r="E29" s="2"/>
      <c r="G29" s="2">
        <f t="shared" si="6"/>
        <v>17.716666666666665</v>
      </c>
      <c r="H29" s="2">
        <f t="shared" si="0"/>
        <v>29.09092592592593</v>
      </c>
      <c r="I29" s="2">
        <f t="shared" si="1"/>
        <v>-5.3158176705297072E-2</v>
      </c>
      <c r="J29" s="2"/>
      <c r="L29" s="2">
        <f t="shared" si="7"/>
        <v>28.39878791133124</v>
      </c>
      <c r="M29" s="2">
        <f t="shared" si="2"/>
        <v>60.310070784362978</v>
      </c>
      <c r="N29" s="2">
        <f t="shared" si="3"/>
        <v>0.60896912667571934</v>
      </c>
      <c r="O29" s="2"/>
      <c r="Q29" s="2">
        <f t="shared" si="8"/>
        <v>7.0345454220020898</v>
      </c>
      <c r="R29" s="2">
        <f t="shared" si="4"/>
        <v>-2.128218932511114</v>
      </c>
      <c r="S29" s="2">
        <f t="shared" si="5"/>
        <v>-0.71528548008631354</v>
      </c>
    </row>
    <row r="30" spans="1:19" x14ac:dyDescent="0.2">
      <c r="A30" s="1">
        <v>40602</v>
      </c>
      <c r="B30" s="2">
        <v>26.3</v>
      </c>
      <c r="C30" s="2">
        <v>1.5211111111111064</v>
      </c>
      <c r="D30" s="2">
        <v>-0.51902191999140845</v>
      </c>
      <c r="E30" s="2"/>
      <c r="G30" s="2">
        <f t="shared" si="6"/>
        <v>17.716666666666665</v>
      </c>
      <c r="H30" s="2">
        <f t="shared" si="0"/>
        <v>29.09092592592593</v>
      </c>
      <c r="I30" s="2">
        <f t="shared" si="1"/>
        <v>-5.3158176705297072E-2</v>
      </c>
      <c r="J30" s="2"/>
      <c r="L30" s="2">
        <f t="shared" si="7"/>
        <v>28.39878791133124</v>
      </c>
      <c r="M30" s="2">
        <f t="shared" si="2"/>
        <v>60.310070784362978</v>
      </c>
      <c r="N30" s="2">
        <f t="shared" si="3"/>
        <v>0.60896912667571934</v>
      </c>
      <c r="O30" s="2"/>
      <c r="Q30" s="2">
        <f t="shared" si="8"/>
        <v>7.0345454220020898</v>
      </c>
      <c r="R30" s="2">
        <f t="shared" si="4"/>
        <v>-2.128218932511114</v>
      </c>
      <c r="S30" s="2">
        <f t="shared" si="5"/>
        <v>-0.71528548008631354</v>
      </c>
    </row>
    <row r="31" spans="1:19" x14ac:dyDescent="0.2">
      <c r="A31" s="1">
        <v>40633</v>
      </c>
      <c r="B31" s="2">
        <v>27.333333333333332</v>
      </c>
      <c r="C31" s="2">
        <v>0.79012345679012608</v>
      </c>
      <c r="D31" s="2">
        <v>0.21801706949441255</v>
      </c>
      <c r="E31" s="2"/>
      <c r="G31" s="2">
        <f t="shared" si="6"/>
        <v>17.716666666666665</v>
      </c>
      <c r="H31" s="2">
        <f t="shared" si="0"/>
        <v>29.09092592592593</v>
      </c>
      <c r="I31" s="2">
        <f t="shared" si="1"/>
        <v>-5.3158176705297072E-2</v>
      </c>
      <c r="J31" s="2"/>
      <c r="L31" s="2">
        <f t="shared" si="7"/>
        <v>28.39878791133124</v>
      </c>
      <c r="M31" s="2">
        <f t="shared" si="2"/>
        <v>60.310070784362978</v>
      </c>
      <c r="N31" s="2">
        <f t="shared" si="3"/>
        <v>0.60896912667571934</v>
      </c>
      <c r="O31" s="2"/>
      <c r="Q31" s="2">
        <f t="shared" si="8"/>
        <v>7.0345454220020898</v>
      </c>
      <c r="R31" s="2">
        <f t="shared" si="4"/>
        <v>-2.128218932511114</v>
      </c>
      <c r="S31" s="2">
        <f t="shared" si="5"/>
        <v>-0.71528548008631354</v>
      </c>
    </row>
    <row r="32" spans="1:19" x14ac:dyDescent="0.2">
      <c r="A32" s="1">
        <v>40663</v>
      </c>
      <c r="B32" s="2">
        <v>28.333333333333332</v>
      </c>
      <c r="C32" s="2">
        <v>0.30864197530864335</v>
      </c>
      <c r="D32" s="2">
        <v>0.66237794428994134</v>
      </c>
      <c r="E32" s="2"/>
      <c r="G32" s="2">
        <f t="shared" si="6"/>
        <v>17.716666666666665</v>
      </c>
      <c r="H32" s="2">
        <f t="shared" si="0"/>
        <v>29.09092592592593</v>
      </c>
      <c r="I32" s="2">
        <f t="shared" si="1"/>
        <v>-5.3158176705297072E-2</v>
      </c>
      <c r="J32" s="2"/>
      <c r="L32" s="2">
        <f t="shared" si="7"/>
        <v>28.39878791133124</v>
      </c>
      <c r="M32" s="2">
        <f t="shared" si="2"/>
        <v>60.310070784362978</v>
      </c>
      <c r="N32" s="2">
        <f t="shared" si="3"/>
        <v>0.60896912667571934</v>
      </c>
      <c r="O32" s="2"/>
      <c r="Q32" s="2">
        <f t="shared" si="8"/>
        <v>7.0345454220020898</v>
      </c>
      <c r="R32" s="2">
        <f t="shared" si="4"/>
        <v>-2.128218932511114</v>
      </c>
      <c r="S32" s="2">
        <f t="shared" si="5"/>
        <v>-0.71528548008631354</v>
      </c>
    </row>
    <row r="33" spans="1:19" x14ac:dyDescent="0.2">
      <c r="A33" s="1">
        <v>40694</v>
      </c>
      <c r="B33" s="2">
        <v>29.366666666666667</v>
      </c>
      <c r="C33" s="2">
        <v>4.4567901234571217E-2</v>
      </c>
      <c r="D33" s="2">
        <v>0.8417551506259745</v>
      </c>
      <c r="E33" s="2"/>
      <c r="G33" s="2">
        <f t="shared" si="6"/>
        <v>17.716666666666665</v>
      </c>
      <c r="H33" s="2">
        <f t="shared" si="0"/>
        <v>29.09092592592593</v>
      </c>
      <c r="I33" s="2">
        <f t="shared" si="1"/>
        <v>-5.3158176705297072E-2</v>
      </c>
      <c r="J33" s="2"/>
      <c r="L33" s="2">
        <f t="shared" si="7"/>
        <v>28.39878791133124</v>
      </c>
      <c r="M33" s="2">
        <f t="shared" si="2"/>
        <v>60.310070784362978</v>
      </c>
      <c r="N33" s="2">
        <f t="shared" si="3"/>
        <v>0.60896912667571934</v>
      </c>
      <c r="O33" s="2"/>
      <c r="Q33" s="2">
        <f t="shared" si="8"/>
        <v>7.0345454220020898</v>
      </c>
      <c r="R33" s="2">
        <f t="shared" si="4"/>
        <v>-2.128218932511114</v>
      </c>
      <c r="S33" s="2">
        <f t="shared" si="5"/>
        <v>-0.71528548008631354</v>
      </c>
    </row>
    <row r="34" spans="1:19" x14ac:dyDescent="0.2">
      <c r="A34" s="1">
        <v>40724</v>
      </c>
      <c r="B34" s="2">
        <v>30.366666666666667</v>
      </c>
      <c r="C34" s="2">
        <v>1.4938271604947317E-2</v>
      </c>
      <c r="D34" s="2">
        <v>0.8580981001741762</v>
      </c>
      <c r="E34" s="2"/>
      <c r="G34" s="2">
        <f t="shared" si="6"/>
        <v>17.716666666666665</v>
      </c>
      <c r="H34" s="2">
        <f t="shared" si="0"/>
        <v>29.09092592592593</v>
      </c>
      <c r="I34" s="2">
        <f t="shared" si="1"/>
        <v>-5.3158176705297072E-2</v>
      </c>
      <c r="J34" s="2"/>
      <c r="L34" s="2">
        <f t="shared" si="7"/>
        <v>28.39878791133124</v>
      </c>
      <c r="M34" s="2">
        <f t="shared" si="2"/>
        <v>60.310070784362978</v>
      </c>
      <c r="N34" s="2">
        <f t="shared" si="3"/>
        <v>0.60896912667571934</v>
      </c>
      <c r="O34" s="2"/>
      <c r="Q34" s="2">
        <f t="shared" si="8"/>
        <v>7.0345454220020898</v>
      </c>
      <c r="R34" s="2">
        <f t="shared" si="4"/>
        <v>-2.128218932511114</v>
      </c>
      <c r="S34" s="2">
        <f t="shared" si="5"/>
        <v>-0.71528548008631354</v>
      </c>
    </row>
    <row r="35" spans="1:19" x14ac:dyDescent="0.2">
      <c r="A35" s="1">
        <v>40755</v>
      </c>
      <c r="B35" s="2">
        <v>31.4</v>
      </c>
      <c r="C35" s="2">
        <v>0.2177777777777834</v>
      </c>
      <c r="D35" s="2">
        <v>0.73055966559968832</v>
      </c>
      <c r="E35" s="2"/>
      <c r="G35" s="2">
        <f t="shared" si="6"/>
        <v>17.716666666666665</v>
      </c>
      <c r="H35" s="2">
        <f t="shared" si="0"/>
        <v>29.09092592592593</v>
      </c>
      <c r="I35" s="2">
        <f t="shared" si="1"/>
        <v>-5.3158176705297072E-2</v>
      </c>
      <c r="J35" s="2"/>
      <c r="L35" s="2">
        <f t="shared" si="7"/>
        <v>28.39878791133124</v>
      </c>
      <c r="M35" s="2">
        <f t="shared" si="2"/>
        <v>60.310070784362978</v>
      </c>
      <c r="N35" s="2">
        <f t="shared" si="3"/>
        <v>0.60896912667571934</v>
      </c>
      <c r="O35" s="2"/>
      <c r="Q35" s="2">
        <f t="shared" si="8"/>
        <v>7.0345454220020898</v>
      </c>
      <c r="R35" s="2">
        <f t="shared" si="4"/>
        <v>-2.128218932511114</v>
      </c>
      <c r="S35" s="2">
        <f t="shared" si="5"/>
        <v>-0.71528548008631354</v>
      </c>
    </row>
    <row r="36" spans="1:19" x14ac:dyDescent="0.2">
      <c r="A36" s="1">
        <v>40786</v>
      </c>
      <c r="B36" s="2">
        <v>32.43333333333333</v>
      </c>
      <c r="C36" s="2">
        <v>0.65790123456790361</v>
      </c>
      <c r="D36" s="2">
        <v>0.35063118278515398</v>
      </c>
      <c r="E36" s="2"/>
      <c r="G36" s="2">
        <f t="shared" si="6"/>
        <v>17.716666666666665</v>
      </c>
      <c r="H36" s="2">
        <f t="shared" si="0"/>
        <v>29.09092592592593</v>
      </c>
      <c r="I36" s="2">
        <f t="shared" si="1"/>
        <v>-5.3158176705297072E-2</v>
      </c>
      <c r="J36" s="2"/>
      <c r="L36" s="2">
        <f t="shared" si="7"/>
        <v>28.39878791133124</v>
      </c>
      <c r="M36" s="2">
        <f t="shared" si="2"/>
        <v>60.310070784362978</v>
      </c>
      <c r="N36" s="2">
        <f t="shared" si="3"/>
        <v>0.60896912667571934</v>
      </c>
      <c r="O36" s="2"/>
      <c r="Q36" s="2">
        <f t="shared" si="8"/>
        <v>7.0345454220020898</v>
      </c>
      <c r="R36" s="2">
        <f t="shared" si="4"/>
        <v>-2.128218932511114</v>
      </c>
      <c r="S36" s="2">
        <f t="shared" si="5"/>
        <v>-0.71528548008631354</v>
      </c>
    </row>
    <row r="37" spans="1:19" x14ac:dyDescent="0.2">
      <c r="A37" s="1">
        <v>40816</v>
      </c>
      <c r="B37" s="2">
        <v>33.43333333333333</v>
      </c>
      <c r="C37" s="2">
        <v>1.3097530864197404</v>
      </c>
      <c r="D37" s="2">
        <v>-0.31871423672288313</v>
      </c>
      <c r="E37" s="2"/>
      <c r="G37" s="2">
        <f t="shared" si="6"/>
        <v>17.716666666666665</v>
      </c>
      <c r="H37" s="2">
        <f t="shared" si="0"/>
        <v>29.09092592592593</v>
      </c>
      <c r="I37" s="2">
        <f t="shared" si="1"/>
        <v>-5.3158176705297072E-2</v>
      </c>
      <c r="J37" s="2"/>
      <c r="L37" s="2">
        <f t="shared" si="7"/>
        <v>28.39878791133124</v>
      </c>
      <c r="M37" s="2">
        <f t="shared" si="2"/>
        <v>60.310070784362978</v>
      </c>
      <c r="N37" s="2">
        <f t="shared" si="3"/>
        <v>0.60896912667571934</v>
      </c>
      <c r="O37" s="2"/>
      <c r="Q37" s="2">
        <f t="shared" si="8"/>
        <v>7.0345454220020898</v>
      </c>
      <c r="R37" s="2">
        <f t="shared" si="4"/>
        <v>-2.128218932511114</v>
      </c>
      <c r="S37" s="2">
        <f t="shared" si="5"/>
        <v>-0.71528548008631354</v>
      </c>
    </row>
    <row r="38" spans="1:19" x14ac:dyDescent="0.2">
      <c r="A38" s="1">
        <v>40847</v>
      </c>
      <c r="B38" s="2">
        <v>34.466666666666669</v>
      </c>
      <c r="C38" s="2">
        <v>2.2167901234567911</v>
      </c>
      <c r="D38" s="2">
        <v>-0.9563425468516088</v>
      </c>
      <c r="E38" s="2"/>
      <c r="G38" s="2">
        <f t="shared" si="6"/>
        <v>17.716666666666665</v>
      </c>
      <c r="H38" s="2">
        <f t="shared" si="0"/>
        <v>29.09092592592593</v>
      </c>
      <c r="I38" s="2">
        <f t="shared" si="1"/>
        <v>-5.3158176705297072E-2</v>
      </c>
      <c r="J38" s="2"/>
      <c r="L38" s="2">
        <f t="shared" si="7"/>
        <v>28.39878791133124</v>
      </c>
      <c r="M38" s="2">
        <f t="shared" si="2"/>
        <v>60.310070784362978</v>
      </c>
      <c r="N38" s="2">
        <f t="shared" si="3"/>
        <v>0.60896912667571934</v>
      </c>
      <c r="O38" s="2"/>
      <c r="Q38" s="2">
        <f t="shared" si="8"/>
        <v>7.0345454220020898</v>
      </c>
      <c r="R38" s="2">
        <f t="shared" si="4"/>
        <v>-2.128218932511114</v>
      </c>
      <c r="S38" s="2">
        <f t="shared" si="5"/>
        <v>-0.71528548008631354</v>
      </c>
    </row>
    <row r="39" spans="1:19" x14ac:dyDescent="0.2">
      <c r="A39" s="1">
        <v>40877</v>
      </c>
      <c r="B39" s="2">
        <v>35.466666666666669</v>
      </c>
      <c r="C39" s="2">
        <v>3.3204938271604867</v>
      </c>
      <c r="D39" s="2">
        <v>-0.65302904830586272</v>
      </c>
      <c r="E39" s="2"/>
      <c r="G39" s="2">
        <f t="shared" si="6"/>
        <v>17.716666666666665</v>
      </c>
      <c r="H39" s="2">
        <f t="shared" si="0"/>
        <v>29.09092592592593</v>
      </c>
      <c r="I39" s="2">
        <f t="shared" si="1"/>
        <v>-5.3158176705297072E-2</v>
      </c>
      <c r="J39" s="2"/>
      <c r="L39" s="2">
        <f t="shared" si="7"/>
        <v>28.39878791133124</v>
      </c>
      <c r="M39" s="2">
        <f t="shared" si="2"/>
        <v>60.310070784362978</v>
      </c>
      <c r="N39" s="2">
        <f t="shared" si="3"/>
        <v>0.60896912667571934</v>
      </c>
      <c r="O39" s="2"/>
      <c r="Q39" s="2">
        <f t="shared" si="8"/>
        <v>7.0345454220020898</v>
      </c>
      <c r="R39" s="2">
        <f t="shared" si="4"/>
        <v>-2.128218932511114</v>
      </c>
      <c r="S39" s="2">
        <f t="shared" si="5"/>
        <v>-0.71528548008631354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_General_Charts">
                <anchor moveWithCells="1" sizeWithCells="1">
                  <from>
                    <xdr:col>20</xdr:col>
                    <xdr:colOff>190500</xdr:colOff>
                    <xdr:row>0</xdr:row>
                    <xdr:rowOff>104775</xdr:rowOff>
                  </from>
                  <to>
                    <xdr:col>21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4:E11"/>
  <sheetViews>
    <sheetView workbookViewId="0">
      <selection activeCell="B1" sqref="B1"/>
    </sheetView>
  </sheetViews>
  <sheetFormatPr defaultRowHeight="12.75" x14ac:dyDescent="0.2"/>
  <sheetData>
    <row r="4" spans="2:5" x14ac:dyDescent="0.2">
      <c r="B4" t="s">
        <v>1</v>
      </c>
      <c r="C4" t="s">
        <v>7</v>
      </c>
      <c r="D4" t="s">
        <v>8</v>
      </c>
      <c r="E4" t="s">
        <v>16</v>
      </c>
    </row>
    <row r="5" spans="2:5" x14ac:dyDescent="0.2">
      <c r="B5" t="s">
        <v>9</v>
      </c>
      <c r="C5">
        <v>1</v>
      </c>
      <c r="D5">
        <v>1.4864289936755024</v>
      </c>
      <c r="E5">
        <v>3.4864289936755024</v>
      </c>
    </row>
    <row r="6" spans="2:5" x14ac:dyDescent="0.2">
      <c r="B6" t="s">
        <v>10</v>
      </c>
      <c r="C6">
        <v>2</v>
      </c>
      <c r="D6">
        <v>2.0768778781205679</v>
      </c>
      <c r="E6">
        <v>6.0768778781205679</v>
      </c>
    </row>
    <row r="7" spans="2:5" x14ac:dyDescent="0.2">
      <c r="B7" t="s">
        <v>11</v>
      </c>
      <c r="C7">
        <v>6</v>
      </c>
      <c r="D7">
        <v>6.4509655142213225</v>
      </c>
      <c r="E7">
        <v>18.450965514221323</v>
      </c>
    </row>
    <row r="8" spans="2:5" x14ac:dyDescent="0.2">
      <c r="B8" t="s">
        <v>12</v>
      </c>
      <c r="C8">
        <v>4</v>
      </c>
      <c r="D8">
        <v>7.0227036762388515</v>
      </c>
      <c r="E8">
        <v>15.022703676238852</v>
      </c>
    </row>
    <row r="9" spans="2:5" x14ac:dyDescent="0.2">
      <c r="B9" t="s">
        <v>13</v>
      </c>
    </row>
    <row r="10" spans="2:5" x14ac:dyDescent="0.2">
      <c r="B10" t="s">
        <v>14</v>
      </c>
      <c r="C10">
        <v>10</v>
      </c>
      <c r="D10">
        <v>10.485869319898777</v>
      </c>
      <c r="E10">
        <v>30.485869319898775</v>
      </c>
    </row>
    <row r="11" spans="2:5" x14ac:dyDescent="0.2">
      <c r="B11" t="s">
        <v>15</v>
      </c>
      <c r="C11">
        <v>15</v>
      </c>
      <c r="D11">
        <v>28.997597006576715</v>
      </c>
      <c r="E11">
        <v>58.997597006576711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_Add_Data_Labels">
                <anchor moveWithCells="1" sizeWithCells="1">
                  <from>
                    <xdr:col>5</xdr:col>
                    <xdr:colOff>47625</xdr:colOff>
                    <xdr:row>1</xdr:row>
                    <xdr:rowOff>47625</xdr:rowOff>
                  </from>
                  <to>
                    <xdr:col>6</xdr:col>
                    <xdr:colOff>542925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Scene1</vt:lpstr>
      <vt:lpstr>Scene2</vt:lpstr>
      <vt:lpstr>Scatter</vt:lpstr>
    </vt:vector>
  </TitlesOfParts>
  <Company>CITI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Charts Batch Creation</dc:title>
  <dc:creator>yp73275</dc:creator>
  <dc:description>Hit "Ctrl+Shift+T" to generate charts._x000d_
Charts are generated after the last column used in the file, after row 10.</dc:description>
  <cp:lastModifiedBy>Pong, Yue Hin [ICG-RSCH]</cp:lastModifiedBy>
  <dcterms:created xsi:type="dcterms:W3CDTF">2010-05-14T06:49:24Z</dcterms:created>
  <dcterms:modified xsi:type="dcterms:W3CDTF">2017-09-26T01:24:48Z</dcterms:modified>
</cp:coreProperties>
</file>