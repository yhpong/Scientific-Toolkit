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1570" windowHeight="3180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 a="1"/>
  <c r="S1" i="1" s="1"/>
  <c r="AI179" i="1" l="1"/>
  <c r="AH179" i="1"/>
  <c r="AG179" i="1"/>
  <c r="AI178" i="1"/>
  <c r="AH178" i="1"/>
  <c r="AG178" i="1"/>
  <c r="AI177" i="1"/>
  <c r="AH177" i="1"/>
  <c r="AG177" i="1"/>
  <c r="AI176" i="1"/>
  <c r="AH176" i="1"/>
  <c r="AG176" i="1"/>
  <c r="AI175" i="1"/>
  <c r="AH175" i="1"/>
  <c r="AG175" i="1"/>
  <c r="AI174" i="1"/>
  <c r="AH174" i="1"/>
  <c r="AG174" i="1"/>
  <c r="AI173" i="1"/>
  <c r="AH173" i="1"/>
  <c r="AG173" i="1"/>
  <c r="AI172" i="1"/>
  <c r="AH172" i="1"/>
  <c r="AG172" i="1"/>
  <c r="AI171" i="1"/>
  <c r="AH171" i="1"/>
  <c r="AG171" i="1"/>
  <c r="AI170" i="1"/>
  <c r="AH170" i="1"/>
  <c r="AG170" i="1"/>
  <c r="AI169" i="1"/>
  <c r="AH169" i="1"/>
  <c r="AG169" i="1"/>
  <c r="AI168" i="1"/>
  <c r="AH168" i="1"/>
  <c r="AG168" i="1"/>
  <c r="AI167" i="1"/>
  <c r="AH167" i="1"/>
  <c r="AG167" i="1"/>
  <c r="AI166" i="1"/>
  <c r="AH166" i="1"/>
  <c r="AG166" i="1"/>
  <c r="AI165" i="1"/>
  <c r="AH165" i="1"/>
  <c r="AG165" i="1"/>
  <c r="AI164" i="1"/>
  <c r="AH164" i="1"/>
  <c r="AG164" i="1"/>
  <c r="AI163" i="1"/>
  <c r="AH163" i="1"/>
  <c r="AG163" i="1"/>
  <c r="AI162" i="1"/>
  <c r="AH162" i="1"/>
  <c r="AG162" i="1"/>
  <c r="AI161" i="1"/>
  <c r="AH161" i="1"/>
  <c r="AG161" i="1"/>
  <c r="AI160" i="1"/>
  <c r="AH160" i="1"/>
  <c r="AG160" i="1"/>
  <c r="AI159" i="1"/>
  <c r="AH159" i="1"/>
  <c r="AG159" i="1"/>
  <c r="AI158" i="1"/>
  <c r="AH158" i="1"/>
  <c r="AG158" i="1"/>
  <c r="AI157" i="1"/>
  <c r="AH157" i="1"/>
  <c r="AG157" i="1"/>
  <c r="AI156" i="1"/>
  <c r="AH156" i="1"/>
  <c r="AG156" i="1"/>
  <c r="AI155" i="1"/>
  <c r="AH155" i="1"/>
  <c r="AG155" i="1"/>
  <c r="AI154" i="1"/>
  <c r="AH154" i="1"/>
  <c r="AG154" i="1"/>
  <c r="AI153" i="1"/>
  <c r="AH153" i="1"/>
  <c r="AG153" i="1"/>
  <c r="AI152" i="1"/>
  <c r="AH152" i="1"/>
  <c r="AG152" i="1"/>
  <c r="AI151" i="1"/>
  <c r="AH151" i="1"/>
  <c r="AG151" i="1"/>
  <c r="AI150" i="1"/>
  <c r="AH150" i="1"/>
  <c r="AG150" i="1"/>
  <c r="AI149" i="1"/>
  <c r="AH149" i="1"/>
  <c r="AG149" i="1"/>
  <c r="AI148" i="1"/>
  <c r="AH148" i="1"/>
  <c r="AG148" i="1"/>
  <c r="AI147" i="1"/>
  <c r="AH147" i="1"/>
  <c r="AG147" i="1"/>
  <c r="AI146" i="1"/>
  <c r="AH146" i="1"/>
  <c r="AG146" i="1"/>
  <c r="AI145" i="1"/>
  <c r="AH145" i="1"/>
  <c r="AG145" i="1"/>
  <c r="AI144" i="1"/>
  <c r="AH144" i="1"/>
  <c r="AG144" i="1"/>
  <c r="AI143" i="1"/>
  <c r="AH143" i="1"/>
  <c r="AG143" i="1"/>
  <c r="AI142" i="1"/>
  <c r="AH142" i="1"/>
  <c r="AG142" i="1"/>
  <c r="AI141" i="1"/>
  <c r="AH141" i="1"/>
  <c r="AG141" i="1"/>
  <c r="AI140" i="1"/>
  <c r="AH140" i="1"/>
  <c r="AG140" i="1"/>
  <c r="AI139" i="1"/>
  <c r="AH139" i="1"/>
  <c r="AG139" i="1"/>
  <c r="AI138" i="1"/>
  <c r="AH138" i="1"/>
  <c r="AG138" i="1"/>
  <c r="AI137" i="1"/>
  <c r="AH137" i="1"/>
  <c r="AG137" i="1"/>
  <c r="AI136" i="1"/>
  <c r="AH136" i="1"/>
  <c r="AG136" i="1"/>
  <c r="AI135" i="1"/>
  <c r="AH135" i="1"/>
  <c r="AG135" i="1"/>
  <c r="AI134" i="1"/>
  <c r="AH134" i="1"/>
  <c r="AG134" i="1"/>
  <c r="AI133" i="1"/>
  <c r="AH133" i="1"/>
  <c r="AG133" i="1"/>
  <c r="AI132" i="1"/>
  <c r="AH132" i="1"/>
  <c r="AG132" i="1"/>
  <c r="AI131" i="1"/>
  <c r="AH131" i="1"/>
  <c r="AG131" i="1"/>
  <c r="AI130" i="1"/>
  <c r="AH130" i="1"/>
  <c r="AG130" i="1"/>
  <c r="AI129" i="1"/>
  <c r="AH129" i="1"/>
  <c r="AG129" i="1"/>
  <c r="AI128" i="1"/>
  <c r="AH128" i="1"/>
  <c r="AG128" i="1"/>
  <c r="AI127" i="1"/>
  <c r="AH127" i="1"/>
  <c r="AG127" i="1"/>
  <c r="AI126" i="1"/>
  <c r="AH126" i="1"/>
  <c r="AG126" i="1"/>
  <c r="AI125" i="1"/>
  <c r="AH125" i="1"/>
  <c r="AG125" i="1"/>
  <c r="AI124" i="1"/>
  <c r="AH124" i="1"/>
  <c r="AG124" i="1"/>
  <c r="AI123" i="1"/>
  <c r="AH123" i="1"/>
  <c r="AG123" i="1"/>
  <c r="AI122" i="1"/>
  <c r="AH122" i="1"/>
  <c r="AG122" i="1"/>
  <c r="AI121" i="1"/>
  <c r="AH121" i="1"/>
  <c r="AG121" i="1"/>
  <c r="AI120" i="1"/>
  <c r="AH120" i="1"/>
  <c r="AG120" i="1"/>
  <c r="AI119" i="1"/>
  <c r="AH119" i="1"/>
  <c r="AG119" i="1"/>
  <c r="AI118" i="1"/>
  <c r="AH118" i="1"/>
  <c r="AG118" i="1"/>
  <c r="AI117" i="1"/>
  <c r="AH117" i="1"/>
  <c r="AG117" i="1"/>
  <c r="AI116" i="1"/>
  <c r="AH116" i="1"/>
  <c r="AG116" i="1"/>
  <c r="AI115" i="1"/>
  <c r="AH115" i="1"/>
  <c r="AG115" i="1"/>
  <c r="AI114" i="1"/>
  <c r="AH114" i="1"/>
  <c r="AG114" i="1"/>
  <c r="AI113" i="1"/>
  <c r="AH113" i="1"/>
  <c r="AG113" i="1"/>
  <c r="AI112" i="1"/>
  <c r="AH112" i="1"/>
  <c r="AG112" i="1"/>
  <c r="AI111" i="1"/>
  <c r="AH111" i="1"/>
  <c r="AG111" i="1"/>
  <c r="AI110" i="1"/>
  <c r="AH110" i="1"/>
  <c r="AG110" i="1"/>
  <c r="AI109" i="1"/>
  <c r="AH109" i="1"/>
  <c r="AG109" i="1"/>
  <c r="AI108" i="1"/>
  <c r="AH108" i="1"/>
  <c r="AG108" i="1"/>
  <c r="AI107" i="1"/>
  <c r="AH107" i="1"/>
  <c r="AG107" i="1"/>
  <c r="AI106" i="1"/>
  <c r="AH106" i="1"/>
  <c r="AG106" i="1"/>
  <c r="AI105" i="1"/>
  <c r="AH105" i="1"/>
  <c r="AG105" i="1"/>
  <c r="AI104" i="1"/>
  <c r="AH104" i="1"/>
  <c r="AG104" i="1"/>
  <c r="AI103" i="1"/>
  <c r="AH103" i="1"/>
  <c r="AG103" i="1"/>
  <c r="AI102" i="1"/>
  <c r="AH102" i="1"/>
  <c r="AG102" i="1"/>
  <c r="AI101" i="1"/>
  <c r="AH101" i="1"/>
  <c r="AG101" i="1"/>
  <c r="AI100" i="1"/>
  <c r="AH100" i="1"/>
  <c r="AG100" i="1"/>
  <c r="AI99" i="1"/>
  <c r="AH99" i="1"/>
  <c r="AG99" i="1"/>
  <c r="AI98" i="1"/>
  <c r="AH98" i="1"/>
  <c r="AG98" i="1"/>
  <c r="AI97" i="1"/>
  <c r="AH97" i="1"/>
  <c r="AG97" i="1"/>
  <c r="AI96" i="1"/>
  <c r="AH96" i="1"/>
  <c r="AG96" i="1"/>
  <c r="AI95" i="1"/>
  <c r="AH95" i="1"/>
  <c r="AG95" i="1"/>
  <c r="AI94" i="1"/>
  <c r="AH94" i="1"/>
  <c r="AG94" i="1"/>
  <c r="AI93" i="1"/>
  <c r="AH93" i="1"/>
  <c r="AG93" i="1"/>
  <c r="AI92" i="1"/>
  <c r="AH92" i="1"/>
  <c r="AG92" i="1"/>
  <c r="AI91" i="1"/>
  <c r="AH91" i="1"/>
  <c r="AG91" i="1"/>
  <c r="AI90" i="1"/>
  <c r="AH90" i="1"/>
  <c r="AG90" i="1"/>
  <c r="AI89" i="1"/>
  <c r="AH89" i="1"/>
  <c r="AG89" i="1"/>
  <c r="AI88" i="1"/>
  <c r="AH88" i="1"/>
  <c r="AG88" i="1"/>
  <c r="AI87" i="1"/>
  <c r="AH87" i="1"/>
  <c r="AG87" i="1"/>
  <c r="AI86" i="1"/>
  <c r="AH86" i="1"/>
  <c r="AG86" i="1"/>
  <c r="AI85" i="1"/>
  <c r="AH85" i="1"/>
  <c r="AG85" i="1"/>
  <c r="AI84" i="1"/>
  <c r="AH84" i="1"/>
  <c r="AG84" i="1"/>
  <c r="AI83" i="1"/>
  <c r="AH83" i="1"/>
  <c r="AG83" i="1"/>
  <c r="AI82" i="1"/>
  <c r="AH82" i="1"/>
  <c r="AG82" i="1"/>
  <c r="AI81" i="1"/>
  <c r="AH81" i="1"/>
  <c r="AG81" i="1"/>
  <c r="AI80" i="1"/>
  <c r="AH80" i="1"/>
  <c r="AG80" i="1"/>
  <c r="AI79" i="1"/>
  <c r="AH79" i="1"/>
  <c r="AG79" i="1"/>
  <c r="AI78" i="1"/>
  <c r="AH78" i="1"/>
  <c r="AG78" i="1"/>
  <c r="AI77" i="1"/>
  <c r="AH77" i="1"/>
  <c r="AG77" i="1"/>
  <c r="AI76" i="1"/>
  <c r="AH76" i="1"/>
  <c r="AG76" i="1"/>
  <c r="AI75" i="1"/>
  <c r="AH75" i="1"/>
  <c r="AG75" i="1"/>
  <c r="AI74" i="1"/>
  <c r="AH74" i="1"/>
  <c r="AG74" i="1"/>
  <c r="AI73" i="1"/>
  <c r="AH73" i="1"/>
  <c r="AG73" i="1"/>
  <c r="AI72" i="1"/>
  <c r="AH72" i="1"/>
  <c r="AG72" i="1"/>
  <c r="AI71" i="1"/>
  <c r="AH71" i="1"/>
  <c r="AG71" i="1"/>
  <c r="AI70" i="1"/>
  <c r="AH70" i="1"/>
  <c r="AG70" i="1"/>
  <c r="AI69" i="1"/>
  <c r="AH69" i="1"/>
  <c r="AG69" i="1"/>
  <c r="AI68" i="1"/>
  <c r="AH68" i="1"/>
  <c r="AG68" i="1"/>
  <c r="AI67" i="1"/>
  <c r="AH67" i="1"/>
  <c r="AG67" i="1"/>
  <c r="AI66" i="1"/>
  <c r="AH66" i="1"/>
  <c r="AG66" i="1"/>
  <c r="AI65" i="1"/>
  <c r="AH65" i="1"/>
  <c r="AG65" i="1"/>
  <c r="AI64" i="1"/>
  <c r="AH64" i="1"/>
  <c r="AG64" i="1"/>
  <c r="AI63" i="1"/>
  <c r="AH63" i="1"/>
  <c r="AG63" i="1"/>
  <c r="AI62" i="1"/>
  <c r="AH62" i="1"/>
  <c r="AG62" i="1"/>
  <c r="AI61" i="1"/>
  <c r="AH61" i="1"/>
  <c r="AG61" i="1"/>
  <c r="AI60" i="1"/>
  <c r="AH60" i="1"/>
  <c r="AG60" i="1"/>
  <c r="AI59" i="1"/>
  <c r="AH59" i="1"/>
  <c r="AG59" i="1"/>
  <c r="AI58" i="1"/>
  <c r="AH58" i="1"/>
  <c r="AG58" i="1"/>
  <c r="AI57" i="1"/>
  <c r="AH57" i="1"/>
  <c r="AG57" i="1"/>
  <c r="AI56" i="1"/>
  <c r="AH56" i="1"/>
  <c r="AG56" i="1"/>
  <c r="AI55" i="1"/>
  <c r="AH55" i="1"/>
  <c r="AG55" i="1"/>
  <c r="AI54" i="1"/>
  <c r="AH54" i="1"/>
  <c r="AG54" i="1"/>
  <c r="AI53" i="1"/>
  <c r="AH53" i="1"/>
  <c r="AG53" i="1"/>
  <c r="AI52" i="1"/>
  <c r="AH52" i="1"/>
  <c r="AG52" i="1"/>
  <c r="AI51" i="1"/>
  <c r="AH51" i="1"/>
  <c r="AG51" i="1"/>
  <c r="AI50" i="1"/>
  <c r="AH50" i="1"/>
  <c r="AG50" i="1"/>
  <c r="AI49" i="1"/>
  <c r="AH49" i="1"/>
  <c r="AG49" i="1"/>
  <c r="AI48" i="1"/>
  <c r="AH48" i="1"/>
  <c r="AG48" i="1"/>
  <c r="AI47" i="1"/>
  <c r="AH47" i="1"/>
  <c r="AG47" i="1"/>
  <c r="AI46" i="1"/>
  <c r="AH46" i="1"/>
  <c r="AG46" i="1"/>
  <c r="AI45" i="1"/>
  <c r="AH45" i="1"/>
  <c r="AG45" i="1"/>
  <c r="AI44" i="1"/>
  <c r="AH44" i="1"/>
  <c r="AG44" i="1"/>
  <c r="AI43" i="1"/>
  <c r="AH43" i="1"/>
  <c r="AG43" i="1"/>
  <c r="AI42" i="1"/>
  <c r="AH42" i="1"/>
  <c r="AG42" i="1"/>
  <c r="AI41" i="1"/>
  <c r="AH41" i="1"/>
  <c r="AG41" i="1"/>
  <c r="AI40" i="1"/>
  <c r="AH40" i="1"/>
  <c r="AG40" i="1"/>
  <c r="AI39" i="1"/>
  <c r="AH39" i="1"/>
  <c r="AG39" i="1"/>
  <c r="AI38" i="1"/>
  <c r="AH38" i="1"/>
  <c r="AG38" i="1"/>
  <c r="AI37" i="1"/>
  <c r="AH37" i="1"/>
  <c r="AG37" i="1"/>
  <c r="AI36" i="1"/>
  <c r="AH36" i="1"/>
  <c r="AG36" i="1"/>
  <c r="AI35" i="1"/>
  <c r="AH35" i="1"/>
  <c r="AG35" i="1"/>
  <c r="AI34" i="1"/>
  <c r="AH34" i="1"/>
  <c r="AG34" i="1"/>
  <c r="AI33" i="1"/>
  <c r="AH33" i="1"/>
  <c r="AG33" i="1"/>
  <c r="AI32" i="1"/>
  <c r="AH32" i="1"/>
  <c r="AG32" i="1"/>
  <c r="AI31" i="1"/>
  <c r="AH31" i="1"/>
  <c r="AG31" i="1"/>
  <c r="AI30" i="1"/>
  <c r="AH30" i="1"/>
  <c r="AG30" i="1"/>
  <c r="AI29" i="1"/>
  <c r="AH29" i="1"/>
  <c r="AG29" i="1"/>
  <c r="AI28" i="1"/>
  <c r="AH28" i="1"/>
  <c r="AG28" i="1"/>
  <c r="AI27" i="1"/>
  <c r="AH27" i="1"/>
  <c r="AG27" i="1"/>
  <c r="AI26" i="1"/>
  <c r="AH26" i="1"/>
  <c r="AG26" i="1"/>
  <c r="AI25" i="1"/>
  <c r="AH25" i="1"/>
  <c r="AG25" i="1"/>
  <c r="AI24" i="1"/>
  <c r="AH24" i="1"/>
  <c r="AG24" i="1"/>
  <c r="AI23" i="1"/>
  <c r="AH23" i="1"/>
  <c r="AG23" i="1"/>
  <c r="AI22" i="1"/>
  <c r="AH22" i="1"/>
  <c r="AG22" i="1"/>
  <c r="AI21" i="1"/>
  <c r="AH21" i="1"/>
  <c r="AG21" i="1"/>
  <c r="AI20" i="1"/>
  <c r="AH20" i="1"/>
  <c r="AG20" i="1"/>
  <c r="AI19" i="1"/>
  <c r="AH19" i="1"/>
  <c r="AG19" i="1"/>
  <c r="AI18" i="1"/>
  <c r="AH18" i="1"/>
  <c r="AG18" i="1"/>
  <c r="AI17" i="1"/>
  <c r="AH17" i="1"/>
  <c r="AG17" i="1"/>
  <c r="AI16" i="1"/>
  <c r="AH16" i="1"/>
  <c r="AG16" i="1"/>
  <c r="AI15" i="1"/>
  <c r="AH15" i="1"/>
  <c r="AG15" i="1"/>
  <c r="AI14" i="1"/>
  <c r="AH14" i="1"/>
  <c r="AG14" i="1"/>
  <c r="AI13" i="1"/>
  <c r="AH13" i="1"/>
  <c r="AG13" i="1"/>
  <c r="AI12" i="1"/>
  <c r="AH12" i="1"/>
  <c r="AG12" i="1"/>
  <c r="AI11" i="1"/>
  <c r="AH11" i="1"/>
  <c r="AG11" i="1"/>
  <c r="AI10" i="1"/>
  <c r="AH10" i="1"/>
  <c r="AG10" i="1"/>
  <c r="AI9" i="1"/>
  <c r="AH9" i="1"/>
  <c r="AG9" i="1"/>
  <c r="AI8" i="1"/>
  <c r="AH8" i="1"/>
  <c r="AG8" i="1"/>
  <c r="AI7" i="1"/>
  <c r="AH7" i="1"/>
  <c r="AG7" i="1"/>
  <c r="AI6" i="1"/>
  <c r="AH6" i="1"/>
  <c r="AG6" i="1"/>
  <c r="AI5" i="1"/>
  <c r="AH5" i="1"/>
  <c r="AG5" i="1"/>
  <c r="AI4" i="1"/>
  <c r="AH4" i="1"/>
  <c r="AG4" i="1"/>
  <c r="AI3" i="1"/>
  <c r="AH3" i="1"/>
  <c r="AG3" i="1"/>
  <c r="AI2" i="1"/>
  <c r="AH2" i="1"/>
  <c r="AG2" i="1"/>
  <c r="AE179" i="1"/>
  <c r="AD179" i="1"/>
  <c r="AC179" i="1"/>
  <c r="AE178" i="1"/>
  <c r="AD178" i="1"/>
  <c r="AC178" i="1"/>
  <c r="AE177" i="1"/>
  <c r="AD177" i="1"/>
  <c r="AC177" i="1"/>
  <c r="AE176" i="1"/>
  <c r="AD176" i="1"/>
  <c r="AC176" i="1"/>
  <c r="AE175" i="1"/>
  <c r="AD175" i="1"/>
  <c r="AC175" i="1"/>
  <c r="AE174" i="1"/>
  <c r="AD174" i="1"/>
  <c r="AC174" i="1"/>
  <c r="AE173" i="1"/>
  <c r="AD173" i="1"/>
  <c r="AC173" i="1"/>
  <c r="AE172" i="1"/>
  <c r="AD172" i="1"/>
  <c r="AC172" i="1"/>
  <c r="AE171" i="1"/>
  <c r="AD171" i="1"/>
  <c r="AC171" i="1"/>
  <c r="AE170" i="1"/>
  <c r="AD170" i="1"/>
  <c r="AC170" i="1"/>
  <c r="AE169" i="1"/>
  <c r="AD169" i="1"/>
  <c r="AC169" i="1"/>
  <c r="AE168" i="1"/>
  <c r="AD168" i="1"/>
  <c r="AC168" i="1"/>
  <c r="AE167" i="1"/>
  <c r="AD167" i="1"/>
  <c r="AC167" i="1"/>
  <c r="AE166" i="1"/>
  <c r="AD166" i="1"/>
  <c r="AC166" i="1"/>
  <c r="AE165" i="1"/>
  <c r="AD165" i="1"/>
  <c r="AC165" i="1"/>
  <c r="AE164" i="1"/>
  <c r="AD164" i="1"/>
  <c r="AC164" i="1"/>
  <c r="AE163" i="1"/>
  <c r="AD163" i="1"/>
  <c r="AC163" i="1"/>
  <c r="AE162" i="1"/>
  <c r="AD162" i="1"/>
  <c r="AC162" i="1"/>
  <c r="AE161" i="1"/>
  <c r="AD161" i="1"/>
  <c r="AC161" i="1"/>
  <c r="AE160" i="1"/>
  <c r="AD160" i="1"/>
  <c r="AC160" i="1"/>
  <c r="AE159" i="1"/>
  <c r="AD159" i="1"/>
  <c r="AC159" i="1"/>
  <c r="AE158" i="1"/>
  <c r="AD158" i="1"/>
  <c r="AC158" i="1"/>
  <c r="AE157" i="1"/>
  <c r="AD157" i="1"/>
  <c r="AC157" i="1"/>
  <c r="AE156" i="1"/>
  <c r="AD156" i="1"/>
  <c r="AC156" i="1"/>
  <c r="AE155" i="1"/>
  <c r="AD155" i="1"/>
  <c r="AC155" i="1"/>
  <c r="AE154" i="1"/>
  <c r="AD154" i="1"/>
  <c r="AC154" i="1"/>
  <c r="AE153" i="1"/>
  <c r="AD153" i="1"/>
  <c r="AC153" i="1"/>
  <c r="AE152" i="1"/>
  <c r="AD152" i="1"/>
  <c r="AC152" i="1"/>
  <c r="AE151" i="1"/>
  <c r="AD151" i="1"/>
  <c r="AC151" i="1"/>
  <c r="AE150" i="1"/>
  <c r="AD150" i="1"/>
  <c r="AC150" i="1"/>
  <c r="AE149" i="1"/>
  <c r="AD149" i="1"/>
  <c r="AC149" i="1"/>
  <c r="AE148" i="1"/>
  <c r="AD148" i="1"/>
  <c r="AC148" i="1"/>
  <c r="AE147" i="1"/>
  <c r="AD147" i="1"/>
  <c r="AC147" i="1"/>
  <c r="AE146" i="1"/>
  <c r="AD146" i="1"/>
  <c r="AC146" i="1"/>
  <c r="AE145" i="1"/>
  <c r="AD145" i="1"/>
  <c r="AC145" i="1"/>
  <c r="AE144" i="1"/>
  <c r="AD144" i="1"/>
  <c r="AC144" i="1"/>
  <c r="AE143" i="1"/>
  <c r="AD143" i="1"/>
  <c r="AC143" i="1"/>
  <c r="AE142" i="1"/>
  <c r="AD142" i="1"/>
  <c r="AC142" i="1"/>
  <c r="AE141" i="1"/>
  <c r="AD141" i="1"/>
  <c r="AC141" i="1"/>
  <c r="AE140" i="1"/>
  <c r="AD140" i="1"/>
  <c r="AC140" i="1"/>
  <c r="AE139" i="1"/>
  <c r="AD139" i="1"/>
  <c r="AC139" i="1"/>
  <c r="AE138" i="1"/>
  <c r="AD138" i="1"/>
  <c r="AC138" i="1"/>
  <c r="AE137" i="1"/>
  <c r="AD137" i="1"/>
  <c r="AC137" i="1"/>
  <c r="AE136" i="1"/>
  <c r="AD136" i="1"/>
  <c r="AC136" i="1"/>
  <c r="AE135" i="1"/>
  <c r="AD135" i="1"/>
  <c r="AC135" i="1"/>
  <c r="AE134" i="1"/>
  <c r="AD134" i="1"/>
  <c r="AC134" i="1"/>
  <c r="AE133" i="1"/>
  <c r="AD133" i="1"/>
  <c r="AC133" i="1"/>
  <c r="AE132" i="1"/>
  <c r="AD132" i="1"/>
  <c r="AC132" i="1"/>
  <c r="AE131" i="1"/>
  <c r="AD131" i="1"/>
  <c r="AC131" i="1"/>
  <c r="AE130" i="1"/>
  <c r="AD130" i="1"/>
  <c r="AC130" i="1"/>
  <c r="AE129" i="1"/>
  <c r="AD129" i="1"/>
  <c r="AC129" i="1"/>
  <c r="AE128" i="1"/>
  <c r="AD128" i="1"/>
  <c r="AC128" i="1"/>
  <c r="AE127" i="1"/>
  <c r="AD127" i="1"/>
  <c r="AC127" i="1"/>
  <c r="AE126" i="1"/>
  <c r="AD126" i="1"/>
  <c r="AC126" i="1"/>
  <c r="AE125" i="1"/>
  <c r="AD125" i="1"/>
  <c r="AC125" i="1"/>
  <c r="AE124" i="1"/>
  <c r="AD124" i="1"/>
  <c r="AC124" i="1"/>
  <c r="AE123" i="1"/>
  <c r="AD123" i="1"/>
  <c r="AC123" i="1"/>
  <c r="AE122" i="1"/>
  <c r="AD122" i="1"/>
  <c r="AC122" i="1"/>
  <c r="AE121" i="1"/>
  <c r="AD121" i="1"/>
  <c r="AC121" i="1"/>
  <c r="AE120" i="1"/>
  <c r="AD120" i="1"/>
  <c r="AC120" i="1"/>
  <c r="AE119" i="1"/>
  <c r="AD119" i="1"/>
  <c r="AC119" i="1"/>
  <c r="AE118" i="1"/>
  <c r="AD118" i="1"/>
  <c r="AC118" i="1"/>
  <c r="AE117" i="1"/>
  <c r="AD117" i="1"/>
  <c r="AC117" i="1"/>
  <c r="AE116" i="1"/>
  <c r="AD116" i="1"/>
  <c r="AC116" i="1"/>
  <c r="AE115" i="1"/>
  <c r="AD115" i="1"/>
  <c r="AC115" i="1"/>
  <c r="AE114" i="1"/>
  <c r="AD114" i="1"/>
  <c r="AC114" i="1"/>
  <c r="AE113" i="1"/>
  <c r="AD113" i="1"/>
  <c r="AC113" i="1"/>
  <c r="AE112" i="1"/>
  <c r="AD112" i="1"/>
  <c r="AC112" i="1"/>
  <c r="AE111" i="1"/>
  <c r="AD111" i="1"/>
  <c r="AC111" i="1"/>
  <c r="AE110" i="1"/>
  <c r="AD110" i="1"/>
  <c r="AC110" i="1"/>
  <c r="AE109" i="1"/>
  <c r="AD109" i="1"/>
  <c r="AC109" i="1"/>
  <c r="AE108" i="1"/>
  <c r="AD108" i="1"/>
  <c r="AC108" i="1"/>
  <c r="AE107" i="1"/>
  <c r="AD107" i="1"/>
  <c r="AC107" i="1"/>
  <c r="AE106" i="1"/>
  <c r="AD106" i="1"/>
  <c r="AC106" i="1"/>
  <c r="AE105" i="1"/>
  <c r="AD105" i="1"/>
  <c r="AC105" i="1"/>
  <c r="AE104" i="1"/>
  <c r="AD104" i="1"/>
  <c r="AC104" i="1"/>
  <c r="AE103" i="1"/>
  <c r="AD103" i="1"/>
  <c r="AC103" i="1"/>
  <c r="AE102" i="1"/>
  <c r="AD102" i="1"/>
  <c r="AC102" i="1"/>
  <c r="AE101" i="1"/>
  <c r="AD101" i="1"/>
  <c r="AC101" i="1"/>
  <c r="AE100" i="1"/>
  <c r="AD100" i="1"/>
  <c r="AC100" i="1"/>
  <c r="AE99" i="1"/>
  <c r="AD99" i="1"/>
  <c r="AC99" i="1"/>
  <c r="AE98" i="1"/>
  <c r="AD98" i="1"/>
  <c r="AC98" i="1"/>
  <c r="AE97" i="1"/>
  <c r="AD97" i="1"/>
  <c r="AC97" i="1"/>
  <c r="AE96" i="1"/>
  <c r="AD96" i="1"/>
  <c r="AC96" i="1"/>
  <c r="AE95" i="1"/>
  <c r="AD95" i="1"/>
  <c r="AC95" i="1"/>
  <c r="AE94" i="1"/>
  <c r="AD94" i="1"/>
  <c r="AC94" i="1"/>
  <c r="AE93" i="1"/>
  <c r="AD93" i="1"/>
  <c r="AC93" i="1"/>
  <c r="AE92" i="1"/>
  <c r="AD92" i="1"/>
  <c r="AC92" i="1"/>
  <c r="AE91" i="1"/>
  <c r="AD91" i="1"/>
  <c r="AC91" i="1"/>
  <c r="AE90" i="1"/>
  <c r="AD90" i="1"/>
  <c r="AC90" i="1"/>
  <c r="AE89" i="1"/>
  <c r="AD89" i="1"/>
  <c r="AC89" i="1"/>
  <c r="AE88" i="1"/>
  <c r="AD88" i="1"/>
  <c r="AC88" i="1"/>
  <c r="AE87" i="1"/>
  <c r="AD87" i="1"/>
  <c r="AC87" i="1"/>
  <c r="AE86" i="1"/>
  <c r="AD86" i="1"/>
  <c r="AC86" i="1"/>
  <c r="AE85" i="1"/>
  <c r="AD85" i="1"/>
  <c r="AC85" i="1"/>
  <c r="AE84" i="1"/>
  <c r="AD84" i="1"/>
  <c r="AC84" i="1"/>
  <c r="AE83" i="1"/>
  <c r="AD83" i="1"/>
  <c r="AC83" i="1"/>
  <c r="AE82" i="1"/>
  <c r="AD82" i="1"/>
  <c r="AC82" i="1"/>
  <c r="AE81" i="1"/>
  <c r="AD81" i="1"/>
  <c r="AC81" i="1"/>
  <c r="AE80" i="1"/>
  <c r="AD80" i="1"/>
  <c r="AC80" i="1"/>
  <c r="AE79" i="1"/>
  <c r="AD79" i="1"/>
  <c r="AC79" i="1"/>
  <c r="AE78" i="1"/>
  <c r="AD78" i="1"/>
  <c r="AC78" i="1"/>
  <c r="AE77" i="1"/>
  <c r="AD77" i="1"/>
  <c r="AC77" i="1"/>
  <c r="AE76" i="1"/>
  <c r="AD76" i="1"/>
  <c r="AC76" i="1"/>
  <c r="AE75" i="1"/>
  <c r="AD75" i="1"/>
  <c r="AC75" i="1"/>
  <c r="AE74" i="1"/>
  <c r="AD74" i="1"/>
  <c r="AC74" i="1"/>
  <c r="AE73" i="1"/>
  <c r="AD73" i="1"/>
  <c r="AC73" i="1"/>
  <c r="AE72" i="1"/>
  <c r="AD72" i="1"/>
  <c r="AC72" i="1"/>
  <c r="AE71" i="1"/>
  <c r="AD71" i="1"/>
  <c r="AC71" i="1"/>
  <c r="AE70" i="1"/>
  <c r="AD70" i="1"/>
  <c r="AC70" i="1"/>
  <c r="AE69" i="1"/>
  <c r="AD69" i="1"/>
  <c r="AC69" i="1"/>
  <c r="AE68" i="1"/>
  <c r="AD68" i="1"/>
  <c r="AC68" i="1"/>
  <c r="AE67" i="1"/>
  <c r="AD67" i="1"/>
  <c r="AC67" i="1"/>
  <c r="AE66" i="1"/>
  <c r="AD66" i="1"/>
  <c r="AC66" i="1"/>
  <c r="AE65" i="1"/>
  <c r="AD65" i="1"/>
  <c r="AC65" i="1"/>
  <c r="AE64" i="1"/>
  <c r="AD64" i="1"/>
  <c r="AC64" i="1"/>
  <c r="AE63" i="1"/>
  <c r="AD63" i="1"/>
  <c r="AC63" i="1"/>
  <c r="AE62" i="1"/>
  <c r="AD62" i="1"/>
  <c r="AC62" i="1"/>
  <c r="AE61" i="1"/>
  <c r="AD61" i="1"/>
  <c r="AC61" i="1"/>
  <c r="AE60" i="1"/>
  <c r="AD60" i="1"/>
  <c r="AC60" i="1"/>
  <c r="AE59" i="1"/>
  <c r="AD59" i="1"/>
  <c r="AC59" i="1"/>
  <c r="AE58" i="1"/>
  <c r="AD58" i="1"/>
  <c r="AC58" i="1"/>
  <c r="AE57" i="1"/>
  <c r="AD57" i="1"/>
  <c r="AC57" i="1"/>
  <c r="AE56" i="1"/>
  <c r="AD56" i="1"/>
  <c r="AC56" i="1"/>
  <c r="AE55" i="1"/>
  <c r="AD55" i="1"/>
  <c r="AC55" i="1"/>
  <c r="AE54" i="1"/>
  <c r="AD54" i="1"/>
  <c r="AC54" i="1"/>
  <c r="AE53" i="1"/>
  <c r="AD53" i="1"/>
  <c r="AC53" i="1"/>
  <c r="AE52" i="1"/>
  <c r="AD52" i="1"/>
  <c r="AC52" i="1"/>
  <c r="AE51" i="1"/>
  <c r="AD51" i="1"/>
  <c r="AC51" i="1"/>
  <c r="AE50" i="1"/>
  <c r="AD50" i="1"/>
  <c r="AC50" i="1"/>
  <c r="AE49" i="1"/>
  <c r="AD49" i="1"/>
  <c r="AC49" i="1"/>
  <c r="AE48" i="1"/>
  <c r="AD48" i="1"/>
  <c r="AC48" i="1"/>
  <c r="AE47" i="1"/>
  <c r="AD47" i="1"/>
  <c r="AC47" i="1"/>
  <c r="AE46" i="1"/>
  <c r="AD46" i="1"/>
  <c r="AC46" i="1"/>
  <c r="AE45" i="1"/>
  <c r="AD45" i="1"/>
  <c r="AC45" i="1"/>
  <c r="AE44" i="1"/>
  <c r="AD44" i="1"/>
  <c r="AC44" i="1"/>
  <c r="AE43" i="1"/>
  <c r="AD43" i="1"/>
  <c r="AC43" i="1"/>
  <c r="AE42" i="1"/>
  <c r="AD42" i="1"/>
  <c r="AC42" i="1"/>
  <c r="AE41" i="1"/>
  <c r="AD41" i="1"/>
  <c r="AC41" i="1"/>
  <c r="AE40" i="1"/>
  <c r="AD40" i="1"/>
  <c r="AC40" i="1"/>
  <c r="AE39" i="1"/>
  <c r="AD39" i="1"/>
  <c r="AC39" i="1"/>
  <c r="AE38" i="1"/>
  <c r="AD38" i="1"/>
  <c r="AC38" i="1"/>
  <c r="AE37" i="1"/>
  <c r="AD37" i="1"/>
  <c r="AC37" i="1"/>
  <c r="AE36" i="1"/>
  <c r="AD36" i="1"/>
  <c r="AC36" i="1"/>
  <c r="AE35" i="1"/>
  <c r="AD35" i="1"/>
  <c r="AC35" i="1"/>
  <c r="AE34" i="1"/>
  <c r="AD34" i="1"/>
  <c r="AC34" i="1"/>
  <c r="AE33" i="1"/>
  <c r="AD33" i="1"/>
  <c r="AC33" i="1"/>
  <c r="AE32" i="1"/>
  <c r="AD32" i="1"/>
  <c r="AC32" i="1"/>
  <c r="AE31" i="1"/>
  <c r="AD31" i="1"/>
  <c r="AC31" i="1"/>
  <c r="AE30" i="1"/>
  <c r="AD30" i="1"/>
  <c r="AC30" i="1"/>
  <c r="AE29" i="1"/>
  <c r="AD29" i="1"/>
  <c r="AC29" i="1"/>
  <c r="AE28" i="1"/>
  <c r="AD28" i="1"/>
  <c r="AC28" i="1"/>
  <c r="AE27" i="1"/>
  <c r="AD27" i="1"/>
  <c r="AC27" i="1"/>
  <c r="AE26" i="1"/>
  <c r="AD26" i="1"/>
  <c r="AC26" i="1"/>
  <c r="AE25" i="1"/>
  <c r="AD25" i="1"/>
  <c r="AC25" i="1"/>
  <c r="AE24" i="1"/>
  <c r="AD24" i="1"/>
  <c r="AC24" i="1"/>
  <c r="AE23" i="1"/>
  <c r="AD23" i="1"/>
  <c r="AC23" i="1"/>
  <c r="AE22" i="1"/>
  <c r="AD22" i="1"/>
  <c r="AC22" i="1"/>
  <c r="AE21" i="1"/>
  <c r="AD21" i="1"/>
  <c r="AC21" i="1"/>
  <c r="AE20" i="1"/>
  <c r="AD20" i="1"/>
  <c r="AC20" i="1"/>
  <c r="AE19" i="1"/>
  <c r="AD19" i="1"/>
  <c r="AC19" i="1"/>
  <c r="AE18" i="1"/>
  <c r="AD18" i="1"/>
  <c r="AC18" i="1"/>
  <c r="AE17" i="1"/>
  <c r="AD17" i="1"/>
  <c r="AC17" i="1"/>
  <c r="AE16" i="1"/>
  <c r="AD16" i="1"/>
  <c r="AC16" i="1"/>
  <c r="AE15" i="1"/>
  <c r="AD15" i="1"/>
  <c r="AC15" i="1"/>
  <c r="AE14" i="1"/>
  <c r="AD14" i="1"/>
  <c r="AC14" i="1"/>
  <c r="AE13" i="1"/>
  <c r="AD13" i="1"/>
  <c r="AC13" i="1"/>
  <c r="AE12" i="1"/>
  <c r="AD12" i="1"/>
  <c r="AC12" i="1"/>
  <c r="AE11" i="1"/>
  <c r="AD11" i="1"/>
  <c r="AC11" i="1"/>
  <c r="AE10" i="1"/>
  <c r="AD10" i="1"/>
  <c r="AC10" i="1"/>
  <c r="AE9" i="1"/>
  <c r="AD9" i="1"/>
  <c r="AC9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S6" i="1" l="1"/>
  <c r="T6" i="1"/>
  <c r="U6" i="1"/>
  <c r="S7" i="1"/>
  <c r="T7" i="1"/>
  <c r="U7" i="1"/>
  <c r="U5" i="1"/>
  <c r="T5" i="1"/>
  <c r="S5" i="1"/>
</calcChain>
</file>

<file path=xl/sharedStrings.xml><?xml version="1.0" encoding="utf-8"?>
<sst xmlns="http://schemas.openxmlformats.org/spreadsheetml/2006/main" count="199" uniqueCount="18">
  <si>
    <t>Class</t>
  </si>
  <si>
    <t>Alcohol</t>
  </si>
  <si>
    <t>Malic acid</t>
  </si>
  <si>
    <t>Ash</t>
  </si>
  <si>
    <t>Alcalinity of ash</t>
  </si>
  <si>
    <t>Magnesium</t>
  </si>
  <si>
    <t>Total phenols</t>
  </si>
  <si>
    <t>Flavanoids</t>
  </si>
  <si>
    <t>Nonflavanoid phenols</t>
  </si>
  <si>
    <t>Proanthocyanins</t>
  </si>
  <si>
    <t>Color intensity</t>
  </si>
  <si>
    <t>Hue</t>
  </si>
  <si>
    <t>OD280/OD315 of diluted wines</t>
  </si>
  <si>
    <t>Proline</t>
  </si>
  <si>
    <t>W1</t>
  </si>
  <si>
    <t>W2</t>
  </si>
  <si>
    <t>W3</t>
  </si>
  <si>
    <t>filtering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</si>
</sst>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Sheet1!$AC$1</c:f>
              <c:strCache>
                <c:ptCount val="1"/>
                <c:pt idx="0">
                  <c:v>W1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Sheet1!$W$2:$W$179</c:f>
              <c:numCache>
                <c:formatCode>General</c:formatCode>
                <c:ptCount val="178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2.5096606947572111</c:v>
                </c:pt>
                <c:pt idx="3">
                  <c:v>3.7464971904904152</c:v>
                </c:pt>
                <c:pt idx="4">
                  <c:v>1.0060704896013954</c:v>
                </c:pt>
                <c:pt idx="5">
                  <c:v>3.0416737256157211</c:v>
                </c:pt>
                <c:pt idx="6">
                  <c:v>2.4422005147875789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2.1075172867958845</c:v>
                </c:pt>
                <c:pt idx="13">
                  <c:v>3.4484292140855577</c:v>
                </c:pt>
                <c:pt idx="14">
                  <c:v>4.3006522824457196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1.8936294749225133</c:v>
                </c:pt>
                <c:pt idx="18">
                  <c:v>3.532021672412081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2.5280926337356022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0.98729406344059201</c:v>
                </c:pt>
                <c:pt idx="26">
                  <c:v>1.7702838696042669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2.4931870441432475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1.4064211811009948</c:v>
                </c:pt>
                <c:pt idx="35">
                  <c:v>1.8984708735216012</c:v>
                </c:pt>
                <c:pt idx="36">
                  <c:v>1.380966688967006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2.5226849008007686</c:v>
                </c:pt>
                <c:pt idx="40">
                  <c:v>2.5808152555128752</c:v>
                </c:pt>
                <c:pt idx="41">
                  <c:v>0.66660159061138136</c:v>
                </c:pt>
                <c:pt idx="42">
                  <c:v>3.0621689789465893</c:v>
                </c:pt>
                <c:pt idx="43">
                  <c:v>0.46090896859421476</c:v>
                </c:pt>
                <c:pt idx="44">
                  <c:v>2.095440942919693</c:v>
                </c:pt>
                <c:pt idx="45">
                  <c:v>1.132970204479451</c:v>
                </c:pt>
                <c:pt idx="46">
                  <c:v>2.718931184840268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3.4957432833664184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2.4623833955339087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3.1305492478407362</c:v>
                </c:pt>
                <c:pt idx="59">
                  <c:v>-0.92596991881157997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3.05207387526098E-2</c:v>
                </c:pt>
                <c:pt idx="63">
                  <c:v>2.0444943342970276</c:v>
                </c:pt>
                <c:pt idx="64">
                  <c:v>-0.60796582844778335</c:v>
                </c:pt>
                <c:pt idx="65">
                  <c:v>0.89769554724954026</c:v>
                </c:pt>
                <c:pt idx="66">
                  <c:v>2.24218226354024</c:v>
                </c:pt>
                <c:pt idx="67">
                  <c:v>0.18286817748197545</c:v>
                </c:pt>
                <c:pt idx="68">
                  <c:v>-0.81051865144018698</c:v>
                </c:pt>
                <c:pt idx="69">
                  <c:v>1.9700631867919625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-0.72333195535139683</c:v>
                </c:pt>
                <c:pt idx="73">
                  <c:v>2.5550197688162659</c:v>
                </c:pt>
                <c:pt idx="74">
                  <c:v>1.8274126581032637</c:v>
                </c:pt>
                <c:pt idx="75">
                  <c:v>-0.86555128678229498</c:v>
                </c:pt>
                <c:pt idx="76">
                  <c:v>0.36897357410701304</c:v>
                </c:pt>
                <c:pt idx="77">
                  <c:v>-1.4532775232982109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0.75992026021272374</c:v>
                </c:pt>
                <c:pt idx="81">
                  <c:v>1.0316677561503917</c:v>
                </c:pt>
                <c:pt idx="82">
                  <c:v>-0.49348469453526111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0.7856882825631446</c:v>
                </c:pt>
                <c:pt idx="86">
                  <c:v>-0.80456258139475745</c:v>
                </c:pt>
                <c:pt idx="87">
                  <c:v>-0.55647288160824537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-1.9271194378349707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2.5367094310900384</c:v>
                </c:pt>
                <c:pt idx="96">
                  <c:v>-0.54242248001249938</c:v>
                </c:pt>
                <c:pt idx="97">
                  <c:v>1.0281494640775557</c:v>
                </c:pt>
                <c:pt idx="98">
                  <c:v>2.245574924622201</c:v>
                </c:pt>
                <c:pt idx="99">
                  <c:v>1.4062491551587533</c:v>
                </c:pt>
                <c:pt idx="100">
                  <c:v>0.79547585073739513</c:v>
                </c:pt>
                <c:pt idx="101">
                  <c:v>-0.54798592410069813</c:v>
                </c:pt>
                <c:pt idx="102">
                  <c:v>-0.16072036708753701</c:v>
                </c:pt>
                <c:pt idx="103">
                  <c:v>-0.65793897473537521</c:v>
                </c:pt>
                <c:pt idx="104">
                  <c:v>0.39125073674984162</c:v>
                </c:pt>
                <c:pt idx="105">
                  <c:v>-1.7675131354248845</c:v>
                </c:pt>
                <c:pt idx="106">
                  <c:v>-0.36523706741018402</c:v>
                </c:pt>
                <c:pt idx="107">
                  <c:v>-1.6161137098593663</c:v>
                </c:pt>
                <c:pt idx="108">
                  <c:v>8.2303614837427486E-2</c:v>
                </c:pt>
                <c:pt idx="109">
                  <c:v>1.5738354698043555</c:v>
                </c:pt>
                <c:pt idx="110">
                  <c:v>1.4165732645351463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-0.49279572940201444</c:v>
                </c:pt>
                <c:pt idx="115">
                  <c:v>0.48071836097521786</c:v>
                </c:pt>
                <c:pt idx="116">
                  <c:v>-0.25217751515631948</c:v>
                </c:pt>
                <c:pt idx="117">
                  <c:v>-0.10692601228872028</c:v>
                </c:pt>
                <c:pt idx="118">
                  <c:v>-2.4261686716910407</c:v>
                </c:pt>
                <c:pt idx="119">
                  <c:v>-0.54953935457595315</c:v>
                </c:pt>
                <c:pt idx="120">
                  <c:v>0.73754141268776852</c:v>
                </c:pt>
                <c:pt idx="121">
                  <c:v>1.3325627337665038</c:v>
                </c:pt>
                <c:pt idx="122">
                  <c:v>-1.1737759151628346</c:v>
                </c:pt>
                <c:pt idx="123">
                  <c:v>-0.46103448501880506</c:v>
                </c:pt>
                <c:pt idx="124">
                  <c:v>0.97572168549517435</c:v>
                </c:pt>
                <c:pt idx="125">
                  <c:v>-9.6537405880416982E-2</c:v>
                </c:pt>
                <c:pt idx="126">
                  <c:v>3.8378883706233546E-2</c:v>
                </c:pt>
                <c:pt idx="127">
                  <c:v>-1.5926657820455461</c:v>
                </c:pt>
                <c:pt idx="128">
                  <c:v>-0.47821592632775384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-2.3777933648018679</c:v>
                </c:pt>
                <c:pt idx="132">
                  <c:v>-2.9286786508959581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-3.0552231506159506</c:v>
                </c:pt>
                <c:pt idx="136">
                  <c:v>-3.9047389832994002</c:v>
                </c:pt>
                <c:pt idx="137">
                  <c:v>-3.9253903353111355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-3.5725635985236011</c:v>
                </c:pt>
                <c:pt idx="148">
                  <c:v>-2.799167603962081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-2.7523805065970306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-1.045233418743071</c:v>
                </c:pt>
                <c:pt idx="159">
                  <c:v>-1.6053836879927457</c:v>
                </c:pt>
                <c:pt idx="160">
                  <c:v>-3.1342895118863989</c:v>
                </c:pt>
                <c:pt idx="161">
                  <c:v>-2.2338554579094327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-2.9410031559341667</c:v>
                </c:pt>
                <c:pt idx="165">
                  <c:v>-3.5201024794068507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-3.2025831121566379</c:v>
                </c:pt>
                <c:pt idx="171">
                  <c:v>-3.6675729375491533</c:v>
                </c:pt>
                <c:pt idx="172">
                  <c:v>-2.4586203249648322</c:v>
                </c:pt>
                <c:pt idx="173">
                  <c:v>-3.3610430460724929</c:v>
                </c:pt>
                <c:pt idx="174">
                  <c:v>-2.5946366922715156</c:v>
                </c:pt>
                <c:pt idx="175">
                  <c:v>-2.6703068454811119</c:v>
                </c:pt>
                <c:pt idx="176">
                  <c:v>-2.3803025432802443</c:v>
                </c:pt>
                <c:pt idx="177">
                  <c:v>-3.1997321036582038</c:v>
                </c:pt>
              </c:numCache>
            </c:numRef>
          </c:xVal>
          <c:yVal>
            <c:numRef>
              <c:f>Sheet1!$AC$2:$AC$179</c:f>
              <c:numCache>
                <c:formatCode>General</c:formatCode>
                <c:ptCount val="178"/>
                <c:pt idx="0">
                  <c:v>1.4394022532975135</c:v>
                </c:pt>
                <c:pt idx="1">
                  <c:v>-0.33245507131350283</c:v>
                </c:pt>
                <c:pt idx="2">
                  <c:v>1.0282507242751755</c:v>
                </c:pt>
                <c:pt idx="3">
                  <c:v>2.7486183907572199</c:v>
                </c:pt>
                <c:pt idx="4">
                  <c:v>0.86738403509774931</c:v>
                </c:pt>
                <c:pt idx="5">
                  <c:v>2.1164309166921207</c:v>
                </c:pt>
                <c:pt idx="6">
                  <c:v>1.1715453425811919</c:v>
                </c:pt>
                <c:pt idx="7">
                  <c:v>1.6044371435895104</c:v>
                </c:pt>
                <c:pt idx="8">
                  <c:v>0.91548847401792266</c:v>
                </c:pt>
                <c:pt idx="9">
                  <c:v>0.78721702890880862</c:v>
                </c:pt>
                <c:pt idx="10">
                  <c:v>1.2986698452615371</c:v>
                </c:pt>
                <c:pt idx="11">
                  <c:v>0.61025577034394729</c:v>
                </c:pt>
                <c:pt idx="12">
                  <c:v>0.67380561413271745</c:v>
                </c:pt>
                <c:pt idx="13">
                  <c:v>1.1274494760833895</c:v>
                </c:pt>
                <c:pt idx="14">
                  <c:v>2.0900797109788209</c:v>
                </c:pt>
                <c:pt idx="15">
                  <c:v>1.657875063169344</c:v>
                </c:pt>
                <c:pt idx="16">
                  <c:v>2.3207587540923384</c:v>
                </c:pt>
                <c:pt idx="17">
                  <c:v>1.6267799274746659</c:v>
                </c:pt>
                <c:pt idx="18">
                  <c:v>2.5112597066386995</c:v>
                </c:pt>
                <c:pt idx="19">
                  <c:v>1.0581530707832361</c:v>
                </c:pt>
                <c:pt idx="20">
                  <c:v>0.78468360745411359</c:v>
                </c:pt>
                <c:pt idx="21">
                  <c:v>0.2410635400592426</c:v>
                </c:pt>
                <c:pt idx="22">
                  <c:v>-9.1582278167977593E-2</c:v>
                </c:pt>
                <c:pt idx="23">
                  <c:v>-0.51482666586398917</c:v>
                </c:pt>
                <c:pt idx="24">
                  <c:v>-0.31625681022343932</c:v>
                </c:pt>
                <c:pt idx="25">
                  <c:v>0.93802129263721568</c:v>
                </c:pt>
                <c:pt idx="26">
                  <c:v>0.68424496104138921</c:v>
                </c:pt>
                <c:pt idx="27">
                  <c:v>-8.9554419133330065E-2</c:v>
                </c:pt>
                <c:pt idx="28">
                  <c:v>0.68762989904393557</c:v>
                </c:pt>
                <c:pt idx="29">
                  <c:v>0.19092336491899631</c:v>
                </c:pt>
                <c:pt idx="30">
                  <c:v>1.2373434374166696</c:v>
                </c:pt>
                <c:pt idx="31">
                  <c:v>1.4677333463748519</c:v>
                </c:pt>
                <c:pt idx="32">
                  <c:v>5.2556195774236814E-2</c:v>
                </c:pt>
                <c:pt idx="33">
                  <c:v>1.6284667253619238</c:v>
                </c:pt>
                <c:pt idx="34">
                  <c:v>0.69597107371051337</c:v>
                </c:pt>
                <c:pt idx="35">
                  <c:v>0.17621387288924659</c:v>
                </c:pt>
                <c:pt idx="36">
                  <c:v>0.6567871358111137</c:v>
                </c:pt>
                <c:pt idx="37">
                  <c:v>0.11378877574917673</c:v>
                </c:pt>
                <c:pt idx="38">
                  <c:v>-0.76726763647011431</c:v>
                </c:pt>
                <c:pt idx="39">
                  <c:v>1.7979302306699081</c:v>
                </c:pt>
                <c:pt idx="40">
                  <c:v>0.77742328635349101</c:v>
                </c:pt>
                <c:pt idx="41">
                  <c:v>0.16948284978429512</c:v>
                </c:pt>
                <c:pt idx="42">
                  <c:v>1.152667419931098</c:v>
                </c:pt>
                <c:pt idx="43">
                  <c:v>0.32981177274281814</c:v>
                </c:pt>
                <c:pt idx="44">
                  <c:v>-7.0809176721405298E-2</c:v>
                </c:pt>
                <c:pt idx="45">
                  <c:v>1.7721084874253699</c:v>
                </c:pt>
                <c:pt idx="46">
                  <c:v>1.1879835328107067</c:v>
                </c:pt>
                <c:pt idx="47">
                  <c:v>0.64444070917329355</c:v>
                </c:pt>
                <c:pt idx="48">
                  <c:v>1.2435216352657281</c:v>
                </c:pt>
                <c:pt idx="49">
                  <c:v>1.7470392190151816</c:v>
                </c:pt>
                <c:pt idx="50">
                  <c:v>0.16652225572031409</c:v>
                </c:pt>
                <c:pt idx="51">
                  <c:v>0.74318237557881306</c:v>
                </c:pt>
                <c:pt idx="52">
                  <c:v>1.6081973240392529</c:v>
                </c:pt>
                <c:pt idx="53">
                  <c:v>1.8698932548085421</c:v>
                </c:pt>
                <c:pt idx="54">
                  <c:v>1.013891471639957</c:v>
                </c:pt>
                <c:pt idx="55">
                  <c:v>1.3252698834403365</c:v>
                </c:pt>
                <c:pt idx="56">
                  <c:v>1.432507850709543</c:v>
                </c:pt>
                <c:pt idx="57">
                  <c:v>1.2087899889376899</c:v>
                </c:pt>
                <c:pt idx="58">
                  <c:v>1.7267082789812844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92-48FB-9610-E86E227FCE34}"/>
            </c:ext>
          </c:extLst>
        </c:ser>
        <c:ser>
          <c:idx val="2"/>
          <c:order val="1"/>
          <c:tx>
            <c:strRef>
              <c:f>Sheet1!$AD$1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Sheet1!$W$2:$W$179</c:f>
              <c:numCache>
                <c:formatCode>General</c:formatCode>
                <c:ptCount val="178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2.5096606947572111</c:v>
                </c:pt>
                <c:pt idx="3">
                  <c:v>3.7464971904904152</c:v>
                </c:pt>
                <c:pt idx="4">
                  <c:v>1.0060704896013954</c:v>
                </c:pt>
                <c:pt idx="5">
                  <c:v>3.0416737256157211</c:v>
                </c:pt>
                <c:pt idx="6">
                  <c:v>2.4422005147875789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2.1075172867958845</c:v>
                </c:pt>
                <c:pt idx="13">
                  <c:v>3.4484292140855577</c:v>
                </c:pt>
                <c:pt idx="14">
                  <c:v>4.3006522824457196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1.8936294749225133</c:v>
                </c:pt>
                <c:pt idx="18">
                  <c:v>3.532021672412081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2.5280926337356022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0.98729406344059201</c:v>
                </c:pt>
                <c:pt idx="26">
                  <c:v>1.7702838696042669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2.4931870441432475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1.4064211811009948</c:v>
                </c:pt>
                <c:pt idx="35">
                  <c:v>1.8984708735216012</c:v>
                </c:pt>
                <c:pt idx="36">
                  <c:v>1.380966688967006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2.5226849008007686</c:v>
                </c:pt>
                <c:pt idx="40">
                  <c:v>2.5808152555128752</c:v>
                </c:pt>
                <c:pt idx="41">
                  <c:v>0.66660159061138136</c:v>
                </c:pt>
                <c:pt idx="42">
                  <c:v>3.0621689789465893</c:v>
                </c:pt>
                <c:pt idx="43">
                  <c:v>0.46090896859421476</c:v>
                </c:pt>
                <c:pt idx="44">
                  <c:v>2.095440942919693</c:v>
                </c:pt>
                <c:pt idx="45">
                  <c:v>1.132970204479451</c:v>
                </c:pt>
                <c:pt idx="46">
                  <c:v>2.718931184840268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3.4957432833664184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2.4623833955339087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3.1305492478407362</c:v>
                </c:pt>
                <c:pt idx="59">
                  <c:v>-0.92596991881157997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3.05207387526098E-2</c:v>
                </c:pt>
                <c:pt idx="63">
                  <c:v>2.0444943342970276</c:v>
                </c:pt>
                <c:pt idx="64">
                  <c:v>-0.60796582844778335</c:v>
                </c:pt>
                <c:pt idx="65">
                  <c:v>0.89769554724954026</c:v>
                </c:pt>
                <c:pt idx="66">
                  <c:v>2.24218226354024</c:v>
                </c:pt>
                <c:pt idx="67">
                  <c:v>0.18286817748197545</c:v>
                </c:pt>
                <c:pt idx="68">
                  <c:v>-0.81051865144018698</c:v>
                </c:pt>
                <c:pt idx="69">
                  <c:v>1.9700631867919625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-0.72333195535139683</c:v>
                </c:pt>
                <c:pt idx="73">
                  <c:v>2.5550197688162659</c:v>
                </c:pt>
                <c:pt idx="74">
                  <c:v>1.8274126581032637</c:v>
                </c:pt>
                <c:pt idx="75">
                  <c:v>-0.86555128678229498</c:v>
                </c:pt>
                <c:pt idx="76">
                  <c:v>0.36897357410701304</c:v>
                </c:pt>
                <c:pt idx="77">
                  <c:v>-1.4532775232982109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0.75992026021272374</c:v>
                </c:pt>
                <c:pt idx="81">
                  <c:v>1.0316677561503917</c:v>
                </c:pt>
                <c:pt idx="82">
                  <c:v>-0.49348469453526111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0.7856882825631446</c:v>
                </c:pt>
                <c:pt idx="86">
                  <c:v>-0.80456258139475745</c:v>
                </c:pt>
                <c:pt idx="87">
                  <c:v>-0.55647288160824537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-1.9271194378349707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2.5367094310900384</c:v>
                </c:pt>
                <c:pt idx="96">
                  <c:v>-0.54242248001249938</c:v>
                </c:pt>
                <c:pt idx="97">
                  <c:v>1.0281494640775557</c:v>
                </c:pt>
                <c:pt idx="98">
                  <c:v>2.245574924622201</c:v>
                </c:pt>
                <c:pt idx="99">
                  <c:v>1.4062491551587533</c:v>
                </c:pt>
                <c:pt idx="100">
                  <c:v>0.79547585073739513</c:v>
                </c:pt>
                <c:pt idx="101">
                  <c:v>-0.54798592410069813</c:v>
                </c:pt>
                <c:pt idx="102">
                  <c:v>-0.16072036708753701</c:v>
                </c:pt>
                <c:pt idx="103">
                  <c:v>-0.65793897473537521</c:v>
                </c:pt>
                <c:pt idx="104">
                  <c:v>0.39125073674984162</c:v>
                </c:pt>
                <c:pt idx="105">
                  <c:v>-1.7675131354248845</c:v>
                </c:pt>
                <c:pt idx="106">
                  <c:v>-0.36523706741018402</c:v>
                </c:pt>
                <c:pt idx="107">
                  <c:v>-1.6161137098593663</c:v>
                </c:pt>
                <c:pt idx="108">
                  <c:v>8.2303614837427486E-2</c:v>
                </c:pt>
                <c:pt idx="109">
                  <c:v>1.5738354698043555</c:v>
                </c:pt>
                <c:pt idx="110">
                  <c:v>1.4165732645351463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-0.49279572940201444</c:v>
                </c:pt>
                <c:pt idx="115">
                  <c:v>0.48071836097521786</c:v>
                </c:pt>
                <c:pt idx="116">
                  <c:v>-0.25217751515631948</c:v>
                </c:pt>
                <c:pt idx="117">
                  <c:v>-0.10692601228872028</c:v>
                </c:pt>
                <c:pt idx="118">
                  <c:v>-2.4261686716910407</c:v>
                </c:pt>
                <c:pt idx="119">
                  <c:v>-0.54953935457595315</c:v>
                </c:pt>
                <c:pt idx="120">
                  <c:v>0.73754141268776852</c:v>
                </c:pt>
                <c:pt idx="121">
                  <c:v>1.3325627337665038</c:v>
                </c:pt>
                <c:pt idx="122">
                  <c:v>-1.1737759151628346</c:v>
                </c:pt>
                <c:pt idx="123">
                  <c:v>-0.46103448501880506</c:v>
                </c:pt>
                <c:pt idx="124">
                  <c:v>0.97572168549517435</c:v>
                </c:pt>
                <c:pt idx="125">
                  <c:v>-9.6537405880416982E-2</c:v>
                </c:pt>
                <c:pt idx="126">
                  <c:v>3.8378883706233546E-2</c:v>
                </c:pt>
                <c:pt idx="127">
                  <c:v>-1.5926657820455461</c:v>
                </c:pt>
                <c:pt idx="128">
                  <c:v>-0.47821592632775384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-2.3777933648018679</c:v>
                </c:pt>
                <c:pt idx="132">
                  <c:v>-2.9286786508959581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-3.0552231506159506</c:v>
                </c:pt>
                <c:pt idx="136">
                  <c:v>-3.9047389832994002</c:v>
                </c:pt>
                <c:pt idx="137">
                  <c:v>-3.9253903353111355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-3.5725635985236011</c:v>
                </c:pt>
                <c:pt idx="148">
                  <c:v>-2.799167603962081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-2.7523805065970306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-1.045233418743071</c:v>
                </c:pt>
                <c:pt idx="159">
                  <c:v>-1.6053836879927457</c:v>
                </c:pt>
                <c:pt idx="160">
                  <c:v>-3.1342895118863989</c:v>
                </c:pt>
                <c:pt idx="161">
                  <c:v>-2.2338554579094327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-2.9410031559341667</c:v>
                </c:pt>
                <c:pt idx="165">
                  <c:v>-3.5201024794068507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-3.2025831121566379</c:v>
                </c:pt>
                <c:pt idx="171">
                  <c:v>-3.6675729375491533</c:v>
                </c:pt>
                <c:pt idx="172">
                  <c:v>-2.4586203249648322</c:v>
                </c:pt>
                <c:pt idx="173">
                  <c:v>-3.3610430460724929</c:v>
                </c:pt>
                <c:pt idx="174">
                  <c:v>-2.5946366922715156</c:v>
                </c:pt>
                <c:pt idx="175">
                  <c:v>-2.6703068454811119</c:v>
                </c:pt>
                <c:pt idx="176">
                  <c:v>-2.3803025432802443</c:v>
                </c:pt>
                <c:pt idx="177">
                  <c:v>-3.1997321036582038</c:v>
                </c:pt>
              </c:numCache>
            </c:numRef>
          </c:xVal>
          <c:yVal>
            <c:numRef>
              <c:f>Sheet1!$AD$2:$AD$179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-3.0648406153332828</c:v>
                </c:pt>
                <c:pt idx="60">
                  <c:v>-1.3775575836033482</c:v>
                </c:pt>
                <c:pt idx="61">
                  <c:v>-0.8276494234104087</c:v>
                </c:pt>
                <c:pt idx="62">
                  <c:v>-1.2592339961460777</c:v>
                </c:pt>
                <c:pt idx="63">
                  <c:v>-1.9196175936628934</c:v>
                </c:pt>
                <c:pt idx="64">
                  <c:v>-1.9026915404386813</c:v>
                </c:pt>
                <c:pt idx="65">
                  <c:v>-0.76176263260831079</c:v>
                </c:pt>
                <c:pt idx="66">
                  <c:v>-1.8792912294812874</c:v>
                </c:pt>
                <c:pt idx="67">
                  <c:v>-2.4203186860248644</c:v>
                </c:pt>
                <c:pt idx="68">
                  <c:v>-0.21989369335694081</c:v>
                </c:pt>
                <c:pt idx="69">
                  <c:v>-1.3993358658385344</c:v>
                </c:pt>
                <c:pt idx="70">
                  <c:v>-0.88249372771492263</c:v>
                </c:pt>
                <c:pt idx="71">
                  <c:v>-0.95402101860303479</c:v>
                </c:pt>
                <c:pt idx="72">
                  <c:v>-1.0606534245503938</c:v>
                </c:pt>
                <c:pt idx="73">
                  <c:v>0.25946662684644939</c:v>
                </c:pt>
                <c:pt idx="74">
                  <c:v>-1.2842554670647643</c:v>
                </c:pt>
                <c:pt idx="75">
                  <c:v>-2.4372260630212077</c:v>
                </c:pt>
                <c:pt idx="76">
                  <c:v>-2.1478481530276512</c:v>
                </c:pt>
                <c:pt idx="77">
                  <c:v>-1.3794604763792</c:v>
                </c:pt>
                <c:pt idx="78">
                  <c:v>-0.76868117209774245</c:v>
                </c:pt>
                <c:pt idx="79">
                  <c:v>-1.0241543866519316</c:v>
                </c:pt>
                <c:pt idx="80">
                  <c:v>-3.3655599689152336</c:v>
                </c:pt>
                <c:pt idx="81">
                  <c:v>-1.4466289714125637</c:v>
                </c:pt>
                <c:pt idx="82">
                  <c:v>-2.3745452195842813</c:v>
                </c:pt>
                <c:pt idx="83">
                  <c:v>-8.7197384103187614E-2</c:v>
                </c:pt>
                <c:pt idx="84">
                  <c:v>-1.4695251969370871</c:v>
                </c:pt>
                <c:pt idx="85">
                  <c:v>-2.0209257332728248</c:v>
                </c:pt>
                <c:pt idx="86">
                  <c:v>-2.2275467485789111</c:v>
                </c:pt>
                <c:pt idx="87">
                  <c:v>-2.3663103511493806</c:v>
                </c:pt>
                <c:pt idx="88">
                  <c:v>-1.7971775694199632</c:v>
                </c:pt>
                <c:pt idx="89">
                  <c:v>-2.6500645213919656</c:v>
                </c:pt>
                <c:pt idx="90">
                  <c:v>-2.1120436480881875</c:v>
                </c:pt>
                <c:pt idx="91">
                  <c:v>-1.8470043440721802</c:v>
                </c:pt>
                <c:pt idx="92">
                  <c:v>-1.5551086819704145</c:v>
                </c:pt>
                <c:pt idx="93">
                  <c:v>-2.3064255592556724</c:v>
                </c:pt>
                <c:pt idx="94">
                  <c:v>-2.2172737711640278</c:v>
                </c:pt>
                <c:pt idx="95">
                  <c:v>0.16879786495814619</c:v>
                </c:pt>
                <c:pt idx="96">
                  <c:v>-0.36788877516647089</c:v>
                </c:pt>
                <c:pt idx="97">
                  <c:v>-2.558352543055344</c:v>
                </c:pt>
                <c:pt idx="98">
                  <c:v>-1.4287111576129672</c:v>
                </c:pt>
                <c:pt idx="99">
                  <c:v>-2.1600983909400382</c:v>
                </c:pt>
                <c:pt idx="100">
                  <c:v>-2.3702625764713705</c:v>
                </c:pt>
                <c:pt idx="101">
                  <c:v>-2.2866781981646289</c:v>
                </c:pt>
                <c:pt idx="102">
                  <c:v>-1.1612076939308451</c:v>
                </c:pt>
                <c:pt idx="103">
                  <c:v>-2.6724226023257609</c:v>
                </c:pt>
                <c:pt idx="104">
                  <c:v>-2.0928280917266768</c:v>
                </c:pt>
                <c:pt idx="105">
                  <c:v>-1.712457831408057</c:v>
                </c:pt>
                <c:pt idx="106">
                  <c:v>-2.1632510261748843</c:v>
                </c:pt>
                <c:pt idx="107">
                  <c:v>-1.3517702064358355</c:v>
                </c:pt>
                <c:pt idx="108">
                  <c:v>-2.2997472764421185</c:v>
                </c:pt>
                <c:pt idx="109">
                  <c:v>-1.4579216680150562</c:v>
                </c:pt>
                <c:pt idx="110">
                  <c:v>-1.4142172998480587</c:v>
                </c:pt>
                <c:pt idx="111">
                  <c:v>-1.9251375066115883</c:v>
                </c:pt>
                <c:pt idx="112">
                  <c:v>-0.76102555203077094</c:v>
                </c:pt>
                <c:pt idx="113">
                  <c:v>-2.2630318661990909</c:v>
                </c:pt>
                <c:pt idx="114">
                  <c:v>-1.9335906224455821</c:v>
                </c:pt>
                <c:pt idx="115">
                  <c:v>-3.8608927331375886</c:v>
                </c:pt>
                <c:pt idx="116">
                  <c:v>-2.8135556714939485</c:v>
                </c:pt>
                <c:pt idx="117">
                  <c:v>-1.9234960905576004</c:v>
                </c:pt>
                <c:pt idx="118">
                  <c:v>-1.2536047719002812</c:v>
                </c:pt>
                <c:pt idx="119">
                  <c:v>-2.2159107322927385</c:v>
                </c:pt>
                <c:pt idx="120">
                  <c:v>-1.4049933496459326</c:v>
                </c:pt>
                <c:pt idx="121">
                  <c:v>0.25262430820437415</c:v>
                </c:pt>
                <c:pt idx="122">
                  <c:v>-0.66209913746065507</c:v>
                </c:pt>
                <c:pt idx="123">
                  <c:v>-0.61654896874307785</c:v>
                </c:pt>
                <c:pt idx="124">
                  <c:v>-1.4415041883724646</c:v>
                </c:pt>
                <c:pt idx="125">
                  <c:v>-2.1040626847474138</c:v>
                </c:pt>
                <c:pt idx="126">
                  <c:v>-1.2631987770305313</c:v>
                </c:pt>
                <c:pt idx="127">
                  <c:v>-1.2047451326925263</c:v>
                </c:pt>
                <c:pt idx="128">
                  <c:v>-1.9333868080596237</c:v>
                </c:pt>
                <c:pt idx="129">
                  <c:v>-1.1470524072681711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92-48FB-9610-E86E227FCE34}"/>
            </c:ext>
          </c:extLst>
        </c:ser>
        <c:ser>
          <c:idx val="3"/>
          <c:order val="2"/>
          <c:tx>
            <c:strRef>
              <c:f>Sheet1!$AE$1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Sheet1!$W$2:$W$179</c:f>
              <c:numCache>
                <c:formatCode>General</c:formatCode>
                <c:ptCount val="178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2.5096606947572111</c:v>
                </c:pt>
                <c:pt idx="3">
                  <c:v>3.7464971904904152</c:v>
                </c:pt>
                <c:pt idx="4">
                  <c:v>1.0060704896013954</c:v>
                </c:pt>
                <c:pt idx="5">
                  <c:v>3.0416737256157211</c:v>
                </c:pt>
                <c:pt idx="6">
                  <c:v>2.4422005147875789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2.1075172867958845</c:v>
                </c:pt>
                <c:pt idx="13">
                  <c:v>3.4484292140855577</c:v>
                </c:pt>
                <c:pt idx="14">
                  <c:v>4.3006522824457196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1.8936294749225133</c:v>
                </c:pt>
                <c:pt idx="18">
                  <c:v>3.532021672412081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2.5280926337356022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0.98729406344059201</c:v>
                </c:pt>
                <c:pt idx="26">
                  <c:v>1.7702838696042669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2.4931870441432475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1.4064211811009948</c:v>
                </c:pt>
                <c:pt idx="35">
                  <c:v>1.8984708735216012</c:v>
                </c:pt>
                <c:pt idx="36">
                  <c:v>1.380966688967006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2.5226849008007686</c:v>
                </c:pt>
                <c:pt idx="40">
                  <c:v>2.5808152555128752</c:v>
                </c:pt>
                <c:pt idx="41">
                  <c:v>0.66660159061138136</c:v>
                </c:pt>
                <c:pt idx="42">
                  <c:v>3.0621689789465893</c:v>
                </c:pt>
                <c:pt idx="43">
                  <c:v>0.46090896859421476</c:v>
                </c:pt>
                <c:pt idx="44">
                  <c:v>2.095440942919693</c:v>
                </c:pt>
                <c:pt idx="45">
                  <c:v>1.132970204479451</c:v>
                </c:pt>
                <c:pt idx="46">
                  <c:v>2.718931184840268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3.4957432833664184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2.4623833955339087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3.1305492478407362</c:v>
                </c:pt>
                <c:pt idx="59">
                  <c:v>-0.92596991881157997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3.05207387526098E-2</c:v>
                </c:pt>
                <c:pt idx="63">
                  <c:v>2.0444943342970276</c:v>
                </c:pt>
                <c:pt idx="64">
                  <c:v>-0.60796582844778335</c:v>
                </c:pt>
                <c:pt idx="65">
                  <c:v>0.89769554724954026</c:v>
                </c:pt>
                <c:pt idx="66">
                  <c:v>2.24218226354024</c:v>
                </c:pt>
                <c:pt idx="67">
                  <c:v>0.18286817748197545</c:v>
                </c:pt>
                <c:pt idx="68">
                  <c:v>-0.81051865144018698</c:v>
                </c:pt>
                <c:pt idx="69">
                  <c:v>1.9700631867919625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-0.72333195535139683</c:v>
                </c:pt>
                <c:pt idx="73">
                  <c:v>2.5550197688162659</c:v>
                </c:pt>
                <c:pt idx="74">
                  <c:v>1.8274126581032637</c:v>
                </c:pt>
                <c:pt idx="75">
                  <c:v>-0.86555128678229498</c:v>
                </c:pt>
                <c:pt idx="76">
                  <c:v>0.36897357410701304</c:v>
                </c:pt>
                <c:pt idx="77">
                  <c:v>-1.4532775232982109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0.75992026021272374</c:v>
                </c:pt>
                <c:pt idx="81">
                  <c:v>1.0316677561503917</c:v>
                </c:pt>
                <c:pt idx="82">
                  <c:v>-0.49348469453526111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0.7856882825631446</c:v>
                </c:pt>
                <c:pt idx="86">
                  <c:v>-0.80456258139475745</c:v>
                </c:pt>
                <c:pt idx="87">
                  <c:v>-0.55647288160824537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-1.9271194378349707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2.5367094310900384</c:v>
                </c:pt>
                <c:pt idx="96">
                  <c:v>-0.54242248001249938</c:v>
                </c:pt>
                <c:pt idx="97">
                  <c:v>1.0281494640775557</c:v>
                </c:pt>
                <c:pt idx="98">
                  <c:v>2.245574924622201</c:v>
                </c:pt>
                <c:pt idx="99">
                  <c:v>1.4062491551587533</c:v>
                </c:pt>
                <c:pt idx="100">
                  <c:v>0.79547585073739513</c:v>
                </c:pt>
                <c:pt idx="101">
                  <c:v>-0.54798592410069813</c:v>
                </c:pt>
                <c:pt idx="102">
                  <c:v>-0.16072036708753701</c:v>
                </c:pt>
                <c:pt idx="103">
                  <c:v>-0.65793897473537521</c:v>
                </c:pt>
                <c:pt idx="104">
                  <c:v>0.39125073674984162</c:v>
                </c:pt>
                <c:pt idx="105">
                  <c:v>-1.7675131354248845</c:v>
                </c:pt>
                <c:pt idx="106">
                  <c:v>-0.36523706741018402</c:v>
                </c:pt>
                <c:pt idx="107">
                  <c:v>-1.6161137098593663</c:v>
                </c:pt>
                <c:pt idx="108">
                  <c:v>8.2303614837427486E-2</c:v>
                </c:pt>
                <c:pt idx="109">
                  <c:v>1.5738354698043555</c:v>
                </c:pt>
                <c:pt idx="110">
                  <c:v>1.4165732645351463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-0.49279572940201444</c:v>
                </c:pt>
                <c:pt idx="115">
                  <c:v>0.48071836097521786</c:v>
                </c:pt>
                <c:pt idx="116">
                  <c:v>-0.25217751515631948</c:v>
                </c:pt>
                <c:pt idx="117">
                  <c:v>-0.10692601228872028</c:v>
                </c:pt>
                <c:pt idx="118">
                  <c:v>-2.4261686716910407</c:v>
                </c:pt>
                <c:pt idx="119">
                  <c:v>-0.54953935457595315</c:v>
                </c:pt>
                <c:pt idx="120">
                  <c:v>0.73754141268776852</c:v>
                </c:pt>
                <c:pt idx="121">
                  <c:v>1.3325627337665038</c:v>
                </c:pt>
                <c:pt idx="122">
                  <c:v>-1.1737759151628346</c:v>
                </c:pt>
                <c:pt idx="123">
                  <c:v>-0.46103448501880506</c:v>
                </c:pt>
                <c:pt idx="124">
                  <c:v>0.97572168549517435</c:v>
                </c:pt>
                <c:pt idx="125">
                  <c:v>-9.6537405880416982E-2</c:v>
                </c:pt>
                <c:pt idx="126">
                  <c:v>3.8378883706233546E-2</c:v>
                </c:pt>
                <c:pt idx="127">
                  <c:v>-1.5926657820455461</c:v>
                </c:pt>
                <c:pt idx="128">
                  <c:v>-0.47821592632775384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-2.3777933648018679</c:v>
                </c:pt>
                <c:pt idx="132">
                  <c:v>-2.9286786508959581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-3.0552231506159506</c:v>
                </c:pt>
                <c:pt idx="136">
                  <c:v>-3.9047389832994002</c:v>
                </c:pt>
                <c:pt idx="137">
                  <c:v>-3.9253903353111355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-3.5725635985236011</c:v>
                </c:pt>
                <c:pt idx="148">
                  <c:v>-2.799167603962081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-2.7523805065970306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-1.045233418743071</c:v>
                </c:pt>
                <c:pt idx="159">
                  <c:v>-1.6053836879927457</c:v>
                </c:pt>
                <c:pt idx="160">
                  <c:v>-3.1342895118863989</c:v>
                </c:pt>
                <c:pt idx="161">
                  <c:v>-2.2338554579094327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-2.9410031559341667</c:v>
                </c:pt>
                <c:pt idx="165">
                  <c:v>-3.5201024794068507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-3.2025831121566379</c:v>
                </c:pt>
                <c:pt idx="171">
                  <c:v>-3.6675729375491533</c:v>
                </c:pt>
                <c:pt idx="172">
                  <c:v>-2.4586203249648322</c:v>
                </c:pt>
                <c:pt idx="173">
                  <c:v>-3.3610430460724929</c:v>
                </c:pt>
                <c:pt idx="174">
                  <c:v>-2.5946366922715156</c:v>
                </c:pt>
                <c:pt idx="175">
                  <c:v>-2.6703068454811119</c:v>
                </c:pt>
                <c:pt idx="176">
                  <c:v>-2.3803025432802443</c:v>
                </c:pt>
                <c:pt idx="177">
                  <c:v>-3.1997321036582038</c:v>
                </c:pt>
              </c:numCache>
            </c:numRef>
          </c:xVal>
          <c:yVal>
            <c:numRef>
              <c:f>Sheet1!$AE$2:$AE$179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0.1699099368778004</c:v>
                </c:pt>
                <c:pt idx="131">
                  <c:v>0.37352892546707361</c:v>
                </c:pt>
                <c:pt idx="132">
                  <c:v>0.26311960145949786</c:v>
                </c:pt>
                <c:pt idx="133">
                  <c:v>0.36721907125002751</c:v>
                </c:pt>
                <c:pt idx="134">
                  <c:v>-0.45834188199781206</c:v>
                </c:pt>
                <c:pt idx="135">
                  <c:v>0.35241870437332995</c:v>
                </c:pt>
                <c:pt idx="136">
                  <c:v>0.15414768722450969</c:v>
                </c:pt>
                <c:pt idx="137">
                  <c:v>0.65783156935429155</c:v>
                </c:pt>
                <c:pt idx="138">
                  <c:v>0.34786148357047197</c:v>
                </c:pt>
                <c:pt idx="139">
                  <c:v>0.29115902676603489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0.48784176515227756</c:v>
                </c:pt>
                <c:pt idx="143">
                  <c:v>0.48097693889892235</c:v>
                </c:pt>
                <c:pt idx="144">
                  <c:v>1.1567893404319456</c:v>
                </c:pt>
                <c:pt idx="145">
                  <c:v>0.56157662404357611</c:v>
                </c:pt>
                <c:pt idx="146">
                  <c:v>0.6478434752647142</c:v>
                </c:pt>
                <c:pt idx="147">
                  <c:v>1.26912270664937</c:v>
                </c:pt>
                <c:pt idx="148">
                  <c:v>1.5661159616753304</c:v>
                </c:pt>
                <c:pt idx="149">
                  <c:v>2.0353156268901076</c:v>
                </c:pt>
                <c:pt idx="150">
                  <c:v>2.3497377475893639</c:v>
                </c:pt>
                <c:pt idx="151">
                  <c:v>2.0395298222866542</c:v>
                </c:pt>
                <c:pt idx="152">
                  <c:v>1.5233487624107107</c:v>
                </c:pt>
                <c:pt idx="153">
                  <c:v>2.1329156482782294</c:v>
                </c:pt>
                <c:pt idx="154">
                  <c:v>0.40873328335776576</c:v>
                </c:pt>
                <c:pt idx="155">
                  <c:v>1.7973142096492989</c:v>
                </c:pt>
                <c:pt idx="156">
                  <c:v>1.9198030787874765</c:v>
                </c:pt>
                <c:pt idx="157">
                  <c:v>1.30818615209726</c:v>
                </c:pt>
                <c:pt idx="158">
                  <c:v>3.5052019367975213</c:v>
                </c:pt>
                <c:pt idx="159">
                  <c:v>2.3998684183860632</c:v>
                </c:pt>
                <c:pt idx="160">
                  <c:v>0.73608463753806297</c:v>
                </c:pt>
                <c:pt idx="161">
                  <c:v>1.1721587687669004</c:v>
                </c:pt>
                <c:pt idx="162">
                  <c:v>0.55447984467372524</c:v>
                </c:pt>
                <c:pt idx="163">
                  <c:v>0.69600219858304446</c:v>
                </c:pt>
                <c:pt idx="164">
                  <c:v>1.5509339655559877</c:v>
                </c:pt>
                <c:pt idx="165">
                  <c:v>0.88004429674289142</c:v>
                </c:pt>
                <c:pt idx="166">
                  <c:v>2.585064019585563</c:v>
                </c:pt>
                <c:pt idx="167">
                  <c:v>1.270861998568525</c:v>
                </c:pt>
                <c:pt idx="168">
                  <c:v>2.0716933144723946</c:v>
                </c:pt>
                <c:pt idx="169">
                  <c:v>2.5813856532836619</c:v>
                </c:pt>
                <c:pt idx="170">
                  <c:v>-0.25054235442571837</c:v>
                </c:pt>
                <c:pt idx="171">
                  <c:v>0.84536317587662513</c:v>
                </c:pt>
                <c:pt idx="172">
                  <c:v>2.1876272693766845</c:v>
                </c:pt>
                <c:pt idx="173">
                  <c:v>2.2100548401084392</c:v>
                </c:pt>
                <c:pt idx="174">
                  <c:v>1.7522863613819095</c:v>
                </c:pt>
                <c:pt idx="175">
                  <c:v>2.7531328742258854</c:v>
                </c:pt>
                <c:pt idx="176">
                  <c:v>2.290884369754135</c:v>
                </c:pt>
                <c:pt idx="177">
                  <c:v>2.761130747203004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92-48FB-9610-E86E227FCE34}"/>
            </c:ext>
          </c:extLst>
        </c:ser>
        <c:ser>
          <c:idx val="1"/>
          <c:order val="3"/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xVal>
            <c:numRef>
              <c:f>Sheet1!$Z$7:$Z$9</c:f>
              <c:numCache>
                <c:formatCode>General</c:formatCode>
                <c:ptCount val="3"/>
                <c:pt idx="0">
                  <c:v>-0.12729985625773327</c:v>
                </c:pt>
                <c:pt idx="1">
                  <c:v>2.2986105138171897</c:v>
                </c:pt>
                <c:pt idx="2">
                  <c:v>-2.8865775808322862</c:v>
                </c:pt>
              </c:numCache>
            </c:numRef>
          </c:xVal>
          <c:yVal>
            <c:numRef>
              <c:f>Sheet1!$AA$7:$AA$9</c:f>
              <c:numCache>
                <c:formatCode>General</c:formatCode>
                <c:ptCount val="3"/>
                <c:pt idx="0">
                  <c:v>-1.9600089599705797</c:v>
                </c:pt>
                <c:pt idx="1">
                  <c:v>0.75250463834187808</c:v>
                </c:pt>
                <c:pt idx="2">
                  <c:v>1.0676455903272091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92-48FB-9610-E86E227FC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49280"/>
        <c:axId val="518755184"/>
      </c:scatterChart>
      <c:valAx>
        <c:axId val="51874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55184"/>
        <c:crosses val="autoZero"/>
        <c:crossBetween val="midCat"/>
      </c:valAx>
      <c:valAx>
        <c:axId val="518755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Sheet1!$AG$1</c:f>
              <c:strCache>
                <c:ptCount val="1"/>
                <c:pt idx="0">
                  <c:v>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Sheet1!$W$2:$W$179</c:f>
              <c:numCache>
                <c:formatCode>General</c:formatCode>
                <c:ptCount val="178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2.5096606947572111</c:v>
                </c:pt>
                <c:pt idx="3">
                  <c:v>3.7464971904904152</c:v>
                </c:pt>
                <c:pt idx="4">
                  <c:v>1.0060704896013954</c:v>
                </c:pt>
                <c:pt idx="5">
                  <c:v>3.0416737256157211</c:v>
                </c:pt>
                <c:pt idx="6">
                  <c:v>2.4422005147875789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2.1075172867958845</c:v>
                </c:pt>
                <c:pt idx="13">
                  <c:v>3.4484292140855577</c:v>
                </c:pt>
                <c:pt idx="14">
                  <c:v>4.3006522824457196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1.8936294749225133</c:v>
                </c:pt>
                <c:pt idx="18">
                  <c:v>3.532021672412081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2.5280926337356022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0.98729406344059201</c:v>
                </c:pt>
                <c:pt idx="26">
                  <c:v>1.7702838696042669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2.4931870441432475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1.4064211811009948</c:v>
                </c:pt>
                <c:pt idx="35">
                  <c:v>1.8984708735216012</c:v>
                </c:pt>
                <c:pt idx="36">
                  <c:v>1.380966688967006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2.5226849008007686</c:v>
                </c:pt>
                <c:pt idx="40">
                  <c:v>2.5808152555128752</c:v>
                </c:pt>
                <c:pt idx="41">
                  <c:v>0.66660159061138136</c:v>
                </c:pt>
                <c:pt idx="42">
                  <c:v>3.0621689789465893</c:v>
                </c:pt>
                <c:pt idx="43">
                  <c:v>0.46090896859421476</c:v>
                </c:pt>
                <c:pt idx="44">
                  <c:v>2.095440942919693</c:v>
                </c:pt>
                <c:pt idx="45">
                  <c:v>1.132970204479451</c:v>
                </c:pt>
                <c:pt idx="46">
                  <c:v>2.718931184840268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3.4957432833664184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2.4623833955339087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3.1305492478407362</c:v>
                </c:pt>
                <c:pt idx="59">
                  <c:v>-0.92596991881157997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3.05207387526098E-2</c:v>
                </c:pt>
                <c:pt idx="63">
                  <c:v>2.0444943342970276</c:v>
                </c:pt>
                <c:pt idx="64">
                  <c:v>-0.60796582844778335</c:v>
                </c:pt>
                <c:pt idx="65">
                  <c:v>0.89769554724954026</c:v>
                </c:pt>
                <c:pt idx="66">
                  <c:v>2.24218226354024</c:v>
                </c:pt>
                <c:pt idx="67">
                  <c:v>0.18286817748197545</c:v>
                </c:pt>
                <c:pt idx="68">
                  <c:v>-0.81051865144018698</c:v>
                </c:pt>
                <c:pt idx="69">
                  <c:v>1.9700631867919625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-0.72333195535139683</c:v>
                </c:pt>
                <c:pt idx="73">
                  <c:v>2.5550197688162659</c:v>
                </c:pt>
                <c:pt idx="74">
                  <c:v>1.8274126581032637</c:v>
                </c:pt>
                <c:pt idx="75">
                  <c:v>-0.86555128678229498</c:v>
                </c:pt>
                <c:pt idx="76">
                  <c:v>0.36897357410701304</c:v>
                </c:pt>
                <c:pt idx="77">
                  <c:v>-1.4532775232982109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0.75992026021272374</c:v>
                </c:pt>
                <c:pt idx="81">
                  <c:v>1.0316677561503917</c:v>
                </c:pt>
                <c:pt idx="82">
                  <c:v>-0.49348469453526111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0.7856882825631446</c:v>
                </c:pt>
                <c:pt idx="86">
                  <c:v>-0.80456258139475745</c:v>
                </c:pt>
                <c:pt idx="87">
                  <c:v>-0.55647288160824537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-1.9271194378349707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2.5367094310900384</c:v>
                </c:pt>
                <c:pt idx="96">
                  <c:v>-0.54242248001249938</c:v>
                </c:pt>
                <c:pt idx="97">
                  <c:v>1.0281494640775557</c:v>
                </c:pt>
                <c:pt idx="98">
                  <c:v>2.245574924622201</c:v>
                </c:pt>
                <c:pt idx="99">
                  <c:v>1.4062491551587533</c:v>
                </c:pt>
                <c:pt idx="100">
                  <c:v>0.79547585073739513</c:v>
                </c:pt>
                <c:pt idx="101">
                  <c:v>-0.54798592410069813</c:v>
                </c:pt>
                <c:pt idx="102">
                  <c:v>-0.16072036708753701</c:v>
                </c:pt>
                <c:pt idx="103">
                  <c:v>-0.65793897473537521</c:v>
                </c:pt>
                <c:pt idx="104">
                  <c:v>0.39125073674984162</c:v>
                </c:pt>
                <c:pt idx="105">
                  <c:v>-1.7675131354248845</c:v>
                </c:pt>
                <c:pt idx="106">
                  <c:v>-0.36523706741018402</c:v>
                </c:pt>
                <c:pt idx="107">
                  <c:v>-1.6161137098593663</c:v>
                </c:pt>
                <c:pt idx="108">
                  <c:v>8.2303614837427486E-2</c:v>
                </c:pt>
                <c:pt idx="109">
                  <c:v>1.5738354698043555</c:v>
                </c:pt>
                <c:pt idx="110">
                  <c:v>1.4165732645351463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-0.49279572940201444</c:v>
                </c:pt>
                <c:pt idx="115">
                  <c:v>0.48071836097521786</c:v>
                </c:pt>
                <c:pt idx="116">
                  <c:v>-0.25217751515631948</c:v>
                </c:pt>
                <c:pt idx="117">
                  <c:v>-0.10692601228872028</c:v>
                </c:pt>
                <c:pt idx="118">
                  <c:v>-2.4261686716910407</c:v>
                </c:pt>
                <c:pt idx="119">
                  <c:v>-0.54953935457595315</c:v>
                </c:pt>
                <c:pt idx="120">
                  <c:v>0.73754141268776852</c:v>
                </c:pt>
                <c:pt idx="121">
                  <c:v>1.3325627337665038</c:v>
                </c:pt>
                <c:pt idx="122">
                  <c:v>-1.1737759151628346</c:v>
                </c:pt>
                <c:pt idx="123">
                  <c:v>-0.46103448501880506</c:v>
                </c:pt>
                <c:pt idx="124">
                  <c:v>0.97572168549517435</c:v>
                </c:pt>
                <c:pt idx="125">
                  <c:v>-9.6537405880416982E-2</c:v>
                </c:pt>
                <c:pt idx="126">
                  <c:v>3.8378883706233546E-2</c:v>
                </c:pt>
                <c:pt idx="127">
                  <c:v>-1.5926657820455461</c:v>
                </c:pt>
                <c:pt idx="128">
                  <c:v>-0.47821592632775384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-2.3777933648018679</c:v>
                </c:pt>
                <c:pt idx="132">
                  <c:v>-2.9286786508959581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-3.0552231506159506</c:v>
                </c:pt>
                <c:pt idx="136">
                  <c:v>-3.9047389832994002</c:v>
                </c:pt>
                <c:pt idx="137">
                  <c:v>-3.9253903353111355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-3.5725635985236011</c:v>
                </c:pt>
                <c:pt idx="148">
                  <c:v>-2.799167603962081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-2.7523805065970306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-1.045233418743071</c:v>
                </c:pt>
                <c:pt idx="159">
                  <c:v>-1.6053836879927457</c:v>
                </c:pt>
                <c:pt idx="160">
                  <c:v>-3.1342895118863989</c:v>
                </c:pt>
                <c:pt idx="161">
                  <c:v>-2.2338554579094327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-2.9410031559341667</c:v>
                </c:pt>
                <c:pt idx="165">
                  <c:v>-3.5201024794068507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-3.2025831121566379</c:v>
                </c:pt>
                <c:pt idx="171">
                  <c:v>-3.6675729375491533</c:v>
                </c:pt>
                <c:pt idx="172">
                  <c:v>-2.4586203249648322</c:v>
                </c:pt>
                <c:pt idx="173">
                  <c:v>-3.3610430460724929</c:v>
                </c:pt>
                <c:pt idx="174">
                  <c:v>-2.5946366922715156</c:v>
                </c:pt>
                <c:pt idx="175">
                  <c:v>-2.6703068454811119</c:v>
                </c:pt>
                <c:pt idx="176">
                  <c:v>-2.3803025432802443</c:v>
                </c:pt>
                <c:pt idx="177">
                  <c:v>-3.1997321036582038</c:v>
                </c:pt>
              </c:numCache>
            </c:numRef>
          </c:xVal>
          <c:yVal>
            <c:numRef>
              <c:f>Sheet1!$AG$2:$AG$179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-3.0648406153332828</c:v>
                </c:pt>
                <c:pt idx="60">
                  <c:v>-1.3775575836033482</c:v>
                </c:pt>
                <c:pt idx="61">
                  <c:v>#N/A</c:v>
                </c:pt>
                <c:pt idx="62">
                  <c:v>-1.2592339961460777</c:v>
                </c:pt>
                <c:pt idx="63">
                  <c:v>-1.9196175936628934</c:v>
                </c:pt>
                <c:pt idx="64">
                  <c:v>-1.9026915404386813</c:v>
                </c:pt>
                <c:pt idx="65">
                  <c:v>-0.76176263260831079</c:v>
                </c:pt>
                <c:pt idx="66">
                  <c:v>#N/A</c:v>
                </c:pt>
                <c:pt idx="67">
                  <c:v>-2.4203186860248644</c:v>
                </c:pt>
                <c:pt idx="68">
                  <c:v>-0.21989369335694081</c:v>
                </c:pt>
                <c:pt idx="69">
                  <c:v>-1.3993358658385344</c:v>
                </c:pt>
                <c:pt idx="70">
                  <c:v>-0.88249372771492263</c:v>
                </c:pt>
                <c:pt idx="71">
                  <c:v>#N/A</c:v>
                </c:pt>
                <c:pt idx="72">
                  <c:v>-1.0606534245503938</c:v>
                </c:pt>
                <c:pt idx="73">
                  <c:v>#N/A</c:v>
                </c:pt>
                <c:pt idx="74">
                  <c:v>-1.2842554670647643</c:v>
                </c:pt>
                <c:pt idx="75">
                  <c:v>-2.4372260630212077</c:v>
                </c:pt>
                <c:pt idx="76">
                  <c:v>-2.1478481530276512</c:v>
                </c:pt>
                <c:pt idx="77">
                  <c:v>-1.3794604763792</c:v>
                </c:pt>
                <c:pt idx="78">
                  <c:v>-0.76868117209774245</c:v>
                </c:pt>
                <c:pt idx="79">
                  <c:v>-1.0241543866519316</c:v>
                </c:pt>
                <c:pt idx="80">
                  <c:v>-3.3655599689152336</c:v>
                </c:pt>
                <c:pt idx="81">
                  <c:v>-1.4466289714125637</c:v>
                </c:pt>
                <c:pt idx="82">
                  <c:v>-2.3745452195842813</c:v>
                </c:pt>
                <c:pt idx="83">
                  <c:v>#N/A</c:v>
                </c:pt>
                <c:pt idx="84">
                  <c:v>-1.4695251969370871</c:v>
                </c:pt>
                <c:pt idx="85">
                  <c:v>-2.0209257332728248</c:v>
                </c:pt>
                <c:pt idx="86">
                  <c:v>-2.2275467485789111</c:v>
                </c:pt>
                <c:pt idx="87">
                  <c:v>-2.3663103511493806</c:v>
                </c:pt>
                <c:pt idx="88">
                  <c:v>-1.7971775694199632</c:v>
                </c:pt>
                <c:pt idx="89">
                  <c:v>-2.6500645213919656</c:v>
                </c:pt>
                <c:pt idx="90">
                  <c:v>-2.1120436480881875</c:v>
                </c:pt>
                <c:pt idx="91">
                  <c:v>-1.8470043440721802</c:v>
                </c:pt>
                <c:pt idx="92">
                  <c:v>-1.5551086819704145</c:v>
                </c:pt>
                <c:pt idx="93">
                  <c:v>-2.3064255592556724</c:v>
                </c:pt>
                <c:pt idx="94">
                  <c:v>-2.2172737711640278</c:v>
                </c:pt>
                <c:pt idx="95">
                  <c:v>0.16879786495814619</c:v>
                </c:pt>
                <c:pt idx="96">
                  <c:v>-0.36788877516647089</c:v>
                </c:pt>
                <c:pt idx="97">
                  <c:v>-2.558352543055344</c:v>
                </c:pt>
                <c:pt idx="98">
                  <c:v>-1.4287111576129672</c:v>
                </c:pt>
                <c:pt idx="99">
                  <c:v>-2.1600983909400382</c:v>
                </c:pt>
                <c:pt idx="100">
                  <c:v>-2.3702625764713705</c:v>
                </c:pt>
                <c:pt idx="101">
                  <c:v>-2.2866781981646289</c:v>
                </c:pt>
                <c:pt idx="102">
                  <c:v>-1.1612076939308451</c:v>
                </c:pt>
                <c:pt idx="103">
                  <c:v>-2.6724226023257609</c:v>
                </c:pt>
                <c:pt idx="104">
                  <c:v>-2.0928280917266768</c:v>
                </c:pt>
                <c:pt idx="105">
                  <c:v>-1.712457831408057</c:v>
                </c:pt>
                <c:pt idx="106">
                  <c:v>-2.1632510261748843</c:v>
                </c:pt>
                <c:pt idx="107">
                  <c:v>-1.3517702064358355</c:v>
                </c:pt>
                <c:pt idx="108">
                  <c:v>-2.2997472764421185</c:v>
                </c:pt>
                <c:pt idx="109">
                  <c:v>-1.4579216680150562</c:v>
                </c:pt>
                <c:pt idx="110">
                  <c:v>-1.4142172998480587</c:v>
                </c:pt>
                <c:pt idx="111">
                  <c:v>-1.9251375066115883</c:v>
                </c:pt>
                <c:pt idx="112">
                  <c:v>-0.76102555203077094</c:v>
                </c:pt>
                <c:pt idx="113">
                  <c:v>-2.2630318661990909</c:v>
                </c:pt>
                <c:pt idx="114">
                  <c:v>-1.9335906224455821</c:v>
                </c:pt>
                <c:pt idx="115">
                  <c:v>-3.8608927331375886</c:v>
                </c:pt>
                <c:pt idx="116">
                  <c:v>-2.8135556714939485</c:v>
                </c:pt>
                <c:pt idx="117">
                  <c:v>-1.9234960905576004</c:v>
                </c:pt>
                <c:pt idx="118">
                  <c:v>#N/A</c:v>
                </c:pt>
                <c:pt idx="119">
                  <c:v>-2.2159107322927385</c:v>
                </c:pt>
                <c:pt idx="120">
                  <c:v>-1.4049933496459326</c:v>
                </c:pt>
                <c:pt idx="121">
                  <c:v>#N/A</c:v>
                </c:pt>
                <c:pt idx="122">
                  <c:v>-0.66209913746065507</c:v>
                </c:pt>
                <c:pt idx="123">
                  <c:v>-0.61654896874307785</c:v>
                </c:pt>
                <c:pt idx="124">
                  <c:v>-1.4415041883724646</c:v>
                </c:pt>
                <c:pt idx="125">
                  <c:v>-2.1040626847474138</c:v>
                </c:pt>
                <c:pt idx="126">
                  <c:v>-1.2631987770305313</c:v>
                </c:pt>
                <c:pt idx="127">
                  <c:v>-1.2047451326925263</c:v>
                </c:pt>
                <c:pt idx="128">
                  <c:v>-1.9333868080596237</c:v>
                </c:pt>
                <c:pt idx="129">
                  <c:v>-1.1470524072681711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B-4D65-9216-096C4EC32EC2}"/>
            </c:ext>
          </c:extLst>
        </c:ser>
        <c:ser>
          <c:idx val="2"/>
          <c:order val="1"/>
          <c:tx>
            <c:strRef>
              <c:f>Sheet1!$AH$1</c:f>
              <c:strCache>
                <c:ptCount val="1"/>
                <c:pt idx="0">
                  <c:v>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Sheet1!$W$2:$W$179</c:f>
              <c:numCache>
                <c:formatCode>General</c:formatCode>
                <c:ptCount val="178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2.5096606947572111</c:v>
                </c:pt>
                <c:pt idx="3">
                  <c:v>3.7464971904904152</c:v>
                </c:pt>
                <c:pt idx="4">
                  <c:v>1.0060704896013954</c:v>
                </c:pt>
                <c:pt idx="5">
                  <c:v>3.0416737256157211</c:v>
                </c:pt>
                <c:pt idx="6">
                  <c:v>2.4422005147875789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2.1075172867958845</c:v>
                </c:pt>
                <c:pt idx="13">
                  <c:v>3.4484292140855577</c:v>
                </c:pt>
                <c:pt idx="14">
                  <c:v>4.3006522824457196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1.8936294749225133</c:v>
                </c:pt>
                <c:pt idx="18">
                  <c:v>3.532021672412081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2.5280926337356022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0.98729406344059201</c:v>
                </c:pt>
                <c:pt idx="26">
                  <c:v>1.7702838696042669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2.4931870441432475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1.4064211811009948</c:v>
                </c:pt>
                <c:pt idx="35">
                  <c:v>1.8984708735216012</c:v>
                </c:pt>
                <c:pt idx="36">
                  <c:v>1.380966688967006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2.5226849008007686</c:v>
                </c:pt>
                <c:pt idx="40">
                  <c:v>2.5808152555128752</c:v>
                </c:pt>
                <c:pt idx="41">
                  <c:v>0.66660159061138136</c:v>
                </c:pt>
                <c:pt idx="42">
                  <c:v>3.0621689789465893</c:v>
                </c:pt>
                <c:pt idx="43">
                  <c:v>0.46090896859421476</c:v>
                </c:pt>
                <c:pt idx="44">
                  <c:v>2.095440942919693</c:v>
                </c:pt>
                <c:pt idx="45">
                  <c:v>1.132970204479451</c:v>
                </c:pt>
                <c:pt idx="46">
                  <c:v>2.718931184840268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3.4957432833664184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2.4623833955339087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3.1305492478407362</c:v>
                </c:pt>
                <c:pt idx="59">
                  <c:v>-0.92596991881157997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3.05207387526098E-2</c:v>
                </c:pt>
                <c:pt idx="63">
                  <c:v>2.0444943342970276</c:v>
                </c:pt>
                <c:pt idx="64">
                  <c:v>-0.60796582844778335</c:v>
                </c:pt>
                <c:pt idx="65">
                  <c:v>0.89769554724954026</c:v>
                </c:pt>
                <c:pt idx="66">
                  <c:v>2.24218226354024</c:v>
                </c:pt>
                <c:pt idx="67">
                  <c:v>0.18286817748197545</c:v>
                </c:pt>
                <c:pt idx="68">
                  <c:v>-0.81051865144018698</c:v>
                </c:pt>
                <c:pt idx="69">
                  <c:v>1.9700631867919625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-0.72333195535139683</c:v>
                </c:pt>
                <c:pt idx="73">
                  <c:v>2.5550197688162659</c:v>
                </c:pt>
                <c:pt idx="74">
                  <c:v>1.8274126581032637</c:v>
                </c:pt>
                <c:pt idx="75">
                  <c:v>-0.86555128678229498</c:v>
                </c:pt>
                <c:pt idx="76">
                  <c:v>0.36897357410701304</c:v>
                </c:pt>
                <c:pt idx="77">
                  <c:v>-1.4532775232982109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0.75992026021272374</c:v>
                </c:pt>
                <c:pt idx="81">
                  <c:v>1.0316677561503917</c:v>
                </c:pt>
                <c:pt idx="82">
                  <c:v>-0.49348469453526111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0.7856882825631446</c:v>
                </c:pt>
                <c:pt idx="86">
                  <c:v>-0.80456258139475745</c:v>
                </c:pt>
                <c:pt idx="87">
                  <c:v>-0.55647288160824537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-1.9271194378349707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2.5367094310900384</c:v>
                </c:pt>
                <c:pt idx="96">
                  <c:v>-0.54242248001249938</c:v>
                </c:pt>
                <c:pt idx="97">
                  <c:v>1.0281494640775557</c:v>
                </c:pt>
                <c:pt idx="98">
                  <c:v>2.245574924622201</c:v>
                </c:pt>
                <c:pt idx="99">
                  <c:v>1.4062491551587533</c:v>
                </c:pt>
                <c:pt idx="100">
                  <c:v>0.79547585073739513</c:v>
                </c:pt>
                <c:pt idx="101">
                  <c:v>-0.54798592410069813</c:v>
                </c:pt>
                <c:pt idx="102">
                  <c:v>-0.16072036708753701</c:v>
                </c:pt>
                <c:pt idx="103">
                  <c:v>-0.65793897473537521</c:v>
                </c:pt>
                <c:pt idx="104">
                  <c:v>0.39125073674984162</c:v>
                </c:pt>
                <c:pt idx="105">
                  <c:v>-1.7675131354248845</c:v>
                </c:pt>
                <c:pt idx="106">
                  <c:v>-0.36523706741018402</c:v>
                </c:pt>
                <c:pt idx="107">
                  <c:v>-1.6161137098593663</c:v>
                </c:pt>
                <c:pt idx="108">
                  <c:v>8.2303614837427486E-2</c:v>
                </c:pt>
                <c:pt idx="109">
                  <c:v>1.5738354698043555</c:v>
                </c:pt>
                <c:pt idx="110">
                  <c:v>1.4165732645351463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-0.49279572940201444</c:v>
                </c:pt>
                <c:pt idx="115">
                  <c:v>0.48071836097521786</c:v>
                </c:pt>
                <c:pt idx="116">
                  <c:v>-0.25217751515631948</c:v>
                </c:pt>
                <c:pt idx="117">
                  <c:v>-0.10692601228872028</c:v>
                </c:pt>
                <c:pt idx="118">
                  <c:v>-2.4261686716910407</c:v>
                </c:pt>
                <c:pt idx="119">
                  <c:v>-0.54953935457595315</c:v>
                </c:pt>
                <c:pt idx="120">
                  <c:v>0.73754141268776852</c:v>
                </c:pt>
                <c:pt idx="121">
                  <c:v>1.3325627337665038</c:v>
                </c:pt>
                <c:pt idx="122">
                  <c:v>-1.1737759151628346</c:v>
                </c:pt>
                <c:pt idx="123">
                  <c:v>-0.46103448501880506</c:v>
                </c:pt>
                <c:pt idx="124">
                  <c:v>0.97572168549517435</c:v>
                </c:pt>
                <c:pt idx="125">
                  <c:v>-9.6537405880416982E-2</c:v>
                </c:pt>
                <c:pt idx="126">
                  <c:v>3.8378883706233546E-2</c:v>
                </c:pt>
                <c:pt idx="127">
                  <c:v>-1.5926657820455461</c:v>
                </c:pt>
                <c:pt idx="128">
                  <c:v>-0.47821592632775384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-2.3777933648018679</c:v>
                </c:pt>
                <c:pt idx="132">
                  <c:v>-2.9286786508959581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-3.0552231506159506</c:v>
                </c:pt>
                <c:pt idx="136">
                  <c:v>-3.9047389832994002</c:v>
                </c:pt>
                <c:pt idx="137">
                  <c:v>-3.9253903353111355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-3.5725635985236011</c:v>
                </c:pt>
                <c:pt idx="148">
                  <c:v>-2.799167603962081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-2.7523805065970306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-1.045233418743071</c:v>
                </c:pt>
                <c:pt idx="159">
                  <c:v>-1.6053836879927457</c:v>
                </c:pt>
                <c:pt idx="160">
                  <c:v>-3.1342895118863989</c:v>
                </c:pt>
                <c:pt idx="161">
                  <c:v>-2.2338554579094327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-2.9410031559341667</c:v>
                </c:pt>
                <c:pt idx="165">
                  <c:v>-3.5201024794068507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-3.2025831121566379</c:v>
                </c:pt>
                <c:pt idx="171">
                  <c:v>-3.6675729375491533</c:v>
                </c:pt>
                <c:pt idx="172">
                  <c:v>-2.4586203249648322</c:v>
                </c:pt>
                <c:pt idx="173">
                  <c:v>-3.3610430460724929</c:v>
                </c:pt>
                <c:pt idx="174">
                  <c:v>-2.5946366922715156</c:v>
                </c:pt>
                <c:pt idx="175">
                  <c:v>-2.6703068454811119</c:v>
                </c:pt>
                <c:pt idx="176">
                  <c:v>-2.3803025432802443</c:v>
                </c:pt>
                <c:pt idx="177">
                  <c:v>-3.1997321036582038</c:v>
                </c:pt>
              </c:numCache>
            </c:numRef>
          </c:xVal>
          <c:yVal>
            <c:numRef>
              <c:f>Sheet1!$AH$2:$AH$179</c:f>
              <c:numCache>
                <c:formatCode>General</c:formatCode>
                <c:ptCount val="178"/>
                <c:pt idx="0">
                  <c:v>1.4394022532975135</c:v>
                </c:pt>
                <c:pt idx="1">
                  <c:v>-0.33245507131350283</c:v>
                </c:pt>
                <c:pt idx="2">
                  <c:v>1.0282507242751755</c:v>
                </c:pt>
                <c:pt idx="3">
                  <c:v>2.7486183907572199</c:v>
                </c:pt>
                <c:pt idx="4">
                  <c:v>0.86738403509774931</c:v>
                </c:pt>
                <c:pt idx="5">
                  <c:v>2.1164309166921207</c:v>
                </c:pt>
                <c:pt idx="6">
                  <c:v>1.1715453425811919</c:v>
                </c:pt>
                <c:pt idx="7">
                  <c:v>1.6044371435895104</c:v>
                </c:pt>
                <c:pt idx="8">
                  <c:v>0.91548847401792266</c:v>
                </c:pt>
                <c:pt idx="9">
                  <c:v>0.78721702890880862</c:v>
                </c:pt>
                <c:pt idx="10">
                  <c:v>1.2986698452615371</c:v>
                </c:pt>
                <c:pt idx="11">
                  <c:v>0.61025577034394729</c:v>
                </c:pt>
                <c:pt idx="12">
                  <c:v>0.67380561413271745</c:v>
                </c:pt>
                <c:pt idx="13">
                  <c:v>1.1274494760833895</c:v>
                </c:pt>
                <c:pt idx="14">
                  <c:v>2.0900797109788209</c:v>
                </c:pt>
                <c:pt idx="15">
                  <c:v>1.657875063169344</c:v>
                </c:pt>
                <c:pt idx="16">
                  <c:v>2.3207587540923384</c:v>
                </c:pt>
                <c:pt idx="17">
                  <c:v>1.6267799274746659</c:v>
                </c:pt>
                <c:pt idx="18">
                  <c:v>2.5112597066386995</c:v>
                </c:pt>
                <c:pt idx="19">
                  <c:v>1.0581530707832361</c:v>
                </c:pt>
                <c:pt idx="20">
                  <c:v>0.78468360745411359</c:v>
                </c:pt>
                <c:pt idx="21">
                  <c:v>0.2410635400592426</c:v>
                </c:pt>
                <c:pt idx="22">
                  <c:v>-9.1582278167977593E-2</c:v>
                </c:pt>
                <c:pt idx="23">
                  <c:v>-0.51482666586398917</c:v>
                </c:pt>
                <c:pt idx="24">
                  <c:v>-0.31625681022343932</c:v>
                </c:pt>
                <c:pt idx="25">
                  <c:v>0.93802129263721568</c:v>
                </c:pt>
                <c:pt idx="26">
                  <c:v>0.68424496104138921</c:v>
                </c:pt>
                <c:pt idx="27">
                  <c:v>-8.9554419133330065E-2</c:v>
                </c:pt>
                <c:pt idx="28">
                  <c:v>0.68762989904393557</c:v>
                </c:pt>
                <c:pt idx="29">
                  <c:v>0.19092336491899631</c:v>
                </c:pt>
                <c:pt idx="30">
                  <c:v>1.2373434374166696</c:v>
                </c:pt>
                <c:pt idx="31">
                  <c:v>1.4677333463748519</c:v>
                </c:pt>
                <c:pt idx="32">
                  <c:v>5.2556195774236814E-2</c:v>
                </c:pt>
                <c:pt idx="33">
                  <c:v>1.6284667253619238</c:v>
                </c:pt>
                <c:pt idx="34">
                  <c:v>0.69597107371051337</c:v>
                </c:pt>
                <c:pt idx="35">
                  <c:v>0.17621387288924659</c:v>
                </c:pt>
                <c:pt idx="36">
                  <c:v>0.6567871358111137</c:v>
                </c:pt>
                <c:pt idx="37">
                  <c:v>0.11378877574917673</c:v>
                </c:pt>
                <c:pt idx="38">
                  <c:v>-0.76726763647011431</c:v>
                </c:pt>
                <c:pt idx="39">
                  <c:v>1.7979302306699081</c:v>
                </c:pt>
                <c:pt idx="40">
                  <c:v>0.77742328635349101</c:v>
                </c:pt>
                <c:pt idx="41">
                  <c:v>0.16948284978429512</c:v>
                </c:pt>
                <c:pt idx="42">
                  <c:v>1.152667419931098</c:v>
                </c:pt>
                <c:pt idx="43">
                  <c:v>0.32981177274281814</c:v>
                </c:pt>
                <c:pt idx="44">
                  <c:v>-7.0809176721405298E-2</c:v>
                </c:pt>
                <c:pt idx="45">
                  <c:v>1.7721084874253699</c:v>
                </c:pt>
                <c:pt idx="46">
                  <c:v>1.1879835328107067</c:v>
                </c:pt>
                <c:pt idx="47">
                  <c:v>0.64444070917329355</c:v>
                </c:pt>
                <c:pt idx="48">
                  <c:v>1.2435216352657281</c:v>
                </c:pt>
                <c:pt idx="49">
                  <c:v>1.7470392190151816</c:v>
                </c:pt>
                <c:pt idx="50">
                  <c:v>0.16652225572031409</c:v>
                </c:pt>
                <c:pt idx="51">
                  <c:v>0.74318237557881306</c:v>
                </c:pt>
                <c:pt idx="52">
                  <c:v>1.6081973240392529</c:v>
                </c:pt>
                <c:pt idx="53">
                  <c:v>1.8698932548085421</c:v>
                </c:pt>
                <c:pt idx="54">
                  <c:v>1.013891471639957</c:v>
                </c:pt>
                <c:pt idx="55">
                  <c:v>1.3252698834403365</c:v>
                </c:pt>
                <c:pt idx="56">
                  <c:v>1.432507850709543</c:v>
                </c:pt>
                <c:pt idx="57">
                  <c:v>1.2087899889376899</c:v>
                </c:pt>
                <c:pt idx="58">
                  <c:v>1.7267082789812844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-1.8792912294812874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-0.95402101860303479</c:v>
                </c:pt>
                <c:pt idx="72">
                  <c:v>#N/A</c:v>
                </c:pt>
                <c:pt idx="73">
                  <c:v>0.25946662684644939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0.25262430820437415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3B-4D65-9216-096C4EC32EC2}"/>
            </c:ext>
          </c:extLst>
        </c:ser>
        <c:ser>
          <c:idx val="3"/>
          <c:order val="2"/>
          <c:tx>
            <c:strRef>
              <c:f>Sheet1!$AI$1</c:f>
              <c:strCache>
                <c:ptCount val="1"/>
                <c:pt idx="0">
                  <c:v>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Sheet1!$W$2:$W$179</c:f>
              <c:numCache>
                <c:formatCode>General</c:formatCode>
                <c:ptCount val="178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2.5096606947572111</c:v>
                </c:pt>
                <c:pt idx="3">
                  <c:v>3.7464971904904152</c:v>
                </c:pt>
                <c:pt idx="4">
                  <c:v>1.0060704896013954</c:v>
                </c:pt>
                <c:pt idx="5">
                  <c:v>3.0416737256157211</c:v>
                </c:pt>
                <c:pt idx="6">
                  <c:v>2.4422005147875789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2.1075172867958845</c:v>
                </c:pt>
                <c:pt idx="13">
                  <c:v>3.4484292140855577</c:v>
                </c:pt>
                <c:pt idx="14">
                  <c:v>4.3006522824457196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1.8936294749225133</c:v>
                </c:pt>
                <c:pt idx="18">
                  <c:v>3.532021672412081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2.5280926337356022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0.98729406344059201</c:v>
                </c:pt>
                <c:pt idx="26">
                  <c:v>1.7702838696042669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2.4931870441432475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1.4064211811009948</c:v>
                </c:pt>
                <c:pt idx="35">
                  <c:v>1.8984708735216012</c:v>
                </c:pt>
                <c:pt idx="36">
                  <c:v>1.380966688967006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2.5226849008007686</c:v>
                </c:pt>
                <c:pt idx="40">
                  <c:v>2.5808152555128752</c:v>
                </c:pt>
                <c:pt idx="41">
                  <c:v>0.66660159061138136</c:v>
                </c:pt>
                <c:pt idx="42">
                  <c:v>3.0621689789465893</c:v>
                </c:pt>
                <c:pt idx="43">
                  <c:v>0.46090896859421476</c:v>
                </c:pt>
                <c:pt idx="44">
                  <c:v>2.095440942919693</c:v>
                </c:pt>
                <c:pt idx="45">
                  <c:v>1.132970204479451</c:v>
                </c:pt>
                <c:pt idx="46">
                  <c:v>2.718931184840268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3.4957432833664184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2.4623833955339087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3.1305492478407362</c:v>
                </c:pt>
                <c:pt idx="59">
                  <c:v>-0.92596991881157997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3.05207387526098E-2</c:v>
                </c:pt>
                <c:pt idx="63">
                  <c:v>2.0444943342970276</c:v>
                </c:pt>
                <c:pt idx="64">
                  <c:v>-0.60796582844778335</c:v>
                </c:pt>
                <c:pt idx="65">
                  <c:v>0.89769554724954026</c:v>
                </c:pt>
                <c:pt idx="66">
                  <c:v>2.24218226354024</c:v>
                </c:pt>
                <c:pt idx="67">
                  <c:v>0.18286817748197545</c:v>
                </c:pt>
                <c:pt idx="68">
                  <c:v>-0.81051865144018698</c:v>
                </c:pt>
                <c:pt idx="69">
                  <c:v>1.9700631867919625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-0.72333195535139683</c:v>
                </c:pt>
                <c:pt idx="73">
                  <c:v>2.5550197688162659</c:v>
                </c:pt>
                <c:pt idx="74">
                  <c:v>1.8274126581032637</c:v>
                </c:pt>
                <c:pt idx="75">
                  <c:v>-0.86555128678229498</c:v>
                </c:pt>
                <c:pt idx="76">
                  <c:v>0.36897357410701304</c:v>
                </c:pt>
                <c:pt idx="77">
                  <c:v>-1.4532775232982109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0.75992026021272374</c:v>
                </c:pt>
                <c:pt idx="81">
                  <c:v>1.0316677561503917</c:v>
                </c:pt>
                <c:pt idx="82">
                  <c:v>-0.49348469453526111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0.7856882825631446</c:v>
                </c:pt>
                <c:pt idx="86">
                  <c:v>-0.80456258139475745</c:v>
                </c:pt>
                <c:pt idx="87">
                  <c:v>-0.55647288160824537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-1.9271194378349707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2.5367094310900384</c:v>
                </c:pt>
                <c:pt idx="96">
                  <c:v>-0.54242248001249938</c:v>
                </c:pt>
                <c:pt idx="97">
                  <c:v>1.0281494640775557</c:v>
                </c:pt>
                <c:pt idx="98">
                  <c:v>2.245574924622201</c:v>
                </c:pt>
                <c:pt idx="99">
                  <c:v>1.4062491551587533</c:v>
                </c:pt>
                <c:pt idx="100">
                  <c:v>0.79547585073739513</c:v>
                </c:pt>
                <c:pt idx="101">
                  <c:v>-0.54798592410069813</c:v>
                </c:pt>
                <c:pt idx="102">
                  <c:v>-0.16072036708753701</c:v>
                </c:pt>
                <c:pt idx="103">
                  <c:v>-0.65793897473537521</c:v>
                </c:pt>
                <c:pt idx="104">
                  <c:v>0.39125073674984162</c:v>
                </c:pt>
                <c:pt idx="105">
                  <c:v>-1.7675131354248845</c:v>
                </c:pt>
                <c:pt idx="106">
                  <c:v>-0.36523706741018402</c:v>
                </c:pt>
                <c:pt idx="107">
                  <c:v>-1.6161137098593663</c:v>
                </c:pt>
                <c:pt idx="108">
                  <c:v>8.2303614837427486E-2</c:v>
                </c:pt>
                <c:pt idx="109">
                  <c:v>1.5738354698043555</c:v>
                </c:pt>
                <c:pt idx="110">
                  <c:v>1.4165732645351463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-0.49279572940201444</c:v>
                </c:pt>
                <c:pt idx="115">
                  <c:v>0.48071836097521786</c:v>
                </c:pt>
                <c:pt idx="116">
                  <c:v>-0.25217751515631948</c:v>
                </c:pt>
                <c:pt idx="117">
                  <c:v>-0.10692601228872028</c:v>
                </c:pt>
                <c:pt idx="118">
                  <c:v>-2.4261686716910407</c:v>
                </c:pt>
                <c:pt idx="119">
                  <c:v>-0.54953935457595315</c:v>
                </c:pt>
                <c:pt idx="120">
                  <c:v>0.73754141268776852</c:v>
                </c:pt>
                <c:pt idx="121">
                  <c:v>1.3325627337665038</c:v>
                </c:pt>
                <c:pt idx="122">
                  <c:v>-1.1737759151628346</c:v>
                </c:pt>
                <c:pt idx="123">
                  <c:v>-0.46103448501880506</c:v>
                </c:pt>
                <c:pt idx="124">
                  <c:v>0.97572168549517435</c:v>
                </c:pt>
                <c:pt idx="125">
                  <c:v>-9.6537405880416982E-2</c:v>
                </c:pt>
                <c:pt idx="126">
                  <c:v>3.8378883706233546E-2</c:v>
                </c:pt>
                <c:pt idx="127">
                  <c:v>-1.5926657820455461</c:v>
                </c:pt>
                <c:pt idx="128">
                  <c:v>-0.47821592632775384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-2.3777933648018679</c:v>
                </c:pt>
                <c:pt idx="132">
                  <c:v>-2.9286786508959581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-3.0552231506159506</c:v>
                </c:pt>
                <c:pt idx="136">
                  <c:v>-3.9047389832994002</c:v>
                </c:pt>
                <c:pt idx="137">
                  <c:v>-3.9253903353111355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-3.5725635985236011</c:v>
                </c:pt>
                <c:pt idx="148">
                  <c:v>-2.799167603962081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-2.7523805065970306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-1.045233418743071</c:v>
                </c:pt>
                <c:pt idx="159">
                  <c:v>-1.6053836879927457</c:v>
                </c:pt>
                <c:pt idx="160">
                  <c:v>-3.1342895118863989</c:v>
                </c:pt>
                <c:pt idx="161">
                  <c:v>-2.2338554579094327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-2.9410031559341667</c:v>
                </c:pt>
                <c:pt idx="165">
                  <c:v>-3.5201024794068507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-3.2025831121566379</c:v>
                </c:pt>
                <c:pt idx="171">
                  <c:v>-3.6675729375491533</c:v>
                </c:pt>
                <c:pt idx="172">
                  <c:v>-2.4586203249648322</c:v>
                </c:pt>
                <c:pt idx="173">
                  <c:v>-3.3610430460724929</c:v>
                </c:pt>
                <c:pt idx="174">
                  <c:v>-2.5946366922715156</c:v>
                </c:pt>
                <c:pt idx="175">
                  <c:v>-2.6703068454811119</c:v>
                </c:pt>
                <c:pt idx="176">
                  <c:v>-2.3803025432802443</c:v>
                </c:pt>
                <c:pt idx="177">
                  <c:v>-3.1997321036582038</c:v>
                </c:pt>
              </c:numCache>
            </c:numRef>
          </c:xVal>
          <c:yVal>
            <c:numRef>
              <c:f>Sheet1!$AI$2:$AI$179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-0.8276494234104087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-8.7197384103187614E-2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-1.2536047719002812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0.1699099368778004</c:v>
                </c:pt>
                <c:pt idx="131">
                  <c:v>0.37352892546707361</c:v>
                </c:pt>
                <c:pt idx="132">
                  <c:v>0.26311960145949786</c:v>
                </c:pt>
                <c:pt idx="133">
                  <c:v>0.36721907125002751</c:v>
                </c:pt>
                <c:pt idx="134">
                  <c:v>-0.45834188199781206</c:v>
                </c:pt>
                <c:pt idx="135">
                  <c:v>0.35241870437332995</c:v>
                </c:pt>
                <c:pt idx="136">
                  <c:v>0.15414768722450969</c:v>
                </c:pt>
                <c:pt idx="137">
                  <c:v>0.65783156935429155</c:v>
                </c:pt>
                <c:pt idx="138">
                  <c:v>0.34786148357047197</c:v>
                </c:pt>
                <c:pt idx="139">
                  <c:v>0.29115902676603489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0.48784176515227756</c:v>
                </c:pt>
                <c:pt idx="143">
                  <c:v>0.48097693889892235</c:v>
                </c:pt>
                <c:pt idx="144">
                  <c:v>1.1567893404319456</c:v>
                </c:pt>
                <c:pt idx="145">
                  <c:v>0.56157662404357611</c:v>
                </c:pt>
                <c:pt idx="146">
                  <c:v>0.6478434752647142</c:v>
                </c:pt>
                <c:pt idx="147">
                  <c:v>1.26912270664937</c:v>
                </c:pt>
                <c:pt idx="148">
                  <c:v>1.5661159616753304</c:v>
                </c:pt>
                <c:pt idx="149">
                  <c:v>2.0353156268901076</c:v>
                </c:pt>
                <c:pt idx="150">
                  <c:v>2.3497377475893639</c:v>
                </c:pt>
                <c:pt idx="151">
                  <c:v>2.0395298222866542</c:v>
                </c:pt>
                <c:pt idx="152">
                  <c:v>1.5233487624107107</c:v>
                </c:pt>
                <c:pt idx="153">
                  <c:v>2.1329156482782294</c:v>
                </c:pt>
                <c:pt idx="154">
                  <c:v>0.40873328335776576</c:v>
                </c:pt>
                <c:pt idx="155">
                  <c:v>1.7973142096492989</c:v>
                </c:pt>
                <c:pt idx="156">
                  <c:v>1.9198030787874765</c:v>
                </c:pt>
                <c:pt idx="157">
                  <c:v>1.30818615209726</c:v>
                </c:pt>
                <c:pt idx="158">
                  <c:v>3.5052019367975213</c:v>
                </c:pt>
                <c:pt idx="159">
                  <c:v>2.3998684183860632</c:v>
                </c:pt>
                <c:pt idx="160">
                  <c:v>0.73608463753806297</c:v>
                </c:pt>
                <c:pt idx="161">
                  <c:v>1.1721587687669004</c:v>
                </c:pt>
                <c:pt idx="162">
                  <c:v>0.55447984467372524</c:v>
                </c:pt>
                <c:pt idx="163">
                  <c:v>0.69600219858304446</c:v>
                </c:pt>
                <c:pt idx="164">
                  <c:v>1.5509339655559877</c:v>
                </c:pt>
                <c:pt idx="165">
                  <c:v>0.88004429674289142</c:v>
                </c:pt>
                <c:pt idx="166">
                  <c:v>2.585064019585563</c:v>
                </c:pt>
                <c:pt idx="167">
                  <c:v>1.270861998568525</c:v>
                </c:pt>
                <c:pt idx="168">
                  <c:v>2.0716933144723946</c:v>
                </c:pt>
                <c:pt idx="169">
                  <c:v>2.5813856532836619</c:v>
                </c:pt>
                <c:pt idx="170">
                  <c:v>-0.25054235442571837</c:v>
                </c:pt>
                <c:pt idx="171">
                  <c:v>0.84536317587662513</c:v>
                </c:pt>
                <c:pt idx="172">
                  <c:v>2.1876272693766845</c:v>
                </c:pt>
                <c:pt idx="173">
                  <c:v>2.2100548401084392</c:v>
                </c:pt>
                <c:pt idx="174">
                  <c:v>1.7522863613819095</c:v>
                </c:pt>
                <c:pt idx="175">
                  <c:v>2.7531328742258854</c:v>
                </c:pt>
                <c:pt idx="176">
                  <c:v>2.290884369754135</c:v>
                </c:pt>
                <c:pt idx="177">
                  <c:v>2.761130747203004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3B-4D65-9216-096C4EC32EC2}"/>
            </c:ext>
          </c:extLst>
        </c:ser>
        <c:ser>
          <c:idx val="1"/>
          <c:order val="3"/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xVal>
            <c:numRef>
              <c:f>Sheet1!$Z$2:$Z$4</c:f>
              <c:numCache>
                <c:formatCode>General</c:formatCode>
                <c:ptCount val="3"/>
                <c:pt idx="0">
                  <c:v>-0.12729985625773327</c:v>
                </c:pt>
                <c:pt idx="1">
                  <c:v>2.2986105138171897</c:v>
                </c:pt>
                <c:pt idx="2">
                  <c:v>-2.8865775808322862</c:v>
                </c:pt>
              </c:numCache>
            </c:numRef>
          </c:xVal>
          <c:yVal>
            <c:numRef>
              <c:f>Sheet1!$AA$2:$AA$4</c:f>
              <c:numCache>
                <c:formatCode>General</c:formatCode>
                <c:ptCount val="3"/>
                <c:pt idx="0">
                  <c:v>-1.9600089599705797</c:v>
                </c:pt>
                <c:pt idx="1">
                  <c:v>0.75250463834187808</c:v>
                </c:pt>
                <c:pt idx="2">
                  <c:v>1.0676455903272091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3B-4D65-9216-096C4EC32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49280"/>
        <c:axId val="518755184"/>
      </c:scatterChart>
      <c:valAx>
        <c:axId val="51874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55184"/>
        <c:crosses val="autoZero"/>
        <c:crossBetween val="midCat"/>
      </c:valAx>
      <c:valAx>
        <c:axId val="518755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5</xdr:row>
          <xdr:rowOff>95250</xdr:rowOff>
        </xdr:from>
        <xdr:to>
          <xdr:col>10</xdr:col>
          <xdr:colOff>295275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8</xdr:row>
      <xdr:rowOff>0</xdr:rowOff>
    </xdr:from>
    <xdr:to>
      <xdr:col>24</xdr:col>
      <xdr:colOff>457200</xdr:colOff>
      <xdr:row>19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24</xdr:col>
      <xdr:colOff>457200</xdr:colOff>
      <xdr:row>30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79"/>
  <sheetViews>
    <sheetView tabSelected="1" topLeftCell="J1" workbookViewId="0">
      <selection activeCell="P6" sqref="P6"/>
    </sheetView>
  </sheetViews>
  <sheetFormatPr defaultRowHeight="15" x14ac:dyDescent="0.25"/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S1">
        <f t="array" ref="S1">SUM(ABS($P$2:$P$179-$Q$2:$Q$179))</f>
        <v>0</v>
      </c>
      <c r="Z1" t="s">
        <v>17</v>
      </c>
      <c r="AC1" t="s">
        <v>14</v>
      </c>
      <c r="AD1" t="s">
        <v>15</v>
      </c>
      <c r="AE1" t="s">
        <v>16</v>
      </c>
      <c r="AG1">
        <v>1</v>
      </c>
      <c r="AH1">
        <v>2</v>
      </c>
      <c r="AI1">
        <v>3</v>
      </c>
    </row>
    <row r="2" spans="1:35" x14ac:dyDescent="0.25">
      <c r="A2" t="s">
        <v>14</v>
      </c>
      <c r="B2">
        <v>14.23</v>
      </c>
      <c r="C2">
        <v>1.71</v>
      </c>
      <c r="D2">
        <v>2.4300000000000002</v>
      </c>
      <c r="E2">
        <v>15.6</v>
      </c>
      <c r="F2">
        <v>127</v>
      </c>
      <c r="G2">
        <v>2.8</v>
      </c>
      <c r="H2">
        <v>3.06</v>
      </c>
      <c r="I2">
        <v>0.28000000000000003</v>
      </c>
      <c r="J2">
        <v>2.29</v>
      </c>
      <c r="K2">
        <v>5.64</v>
      </c>
      <c r="L2">
        <v>1.04</v>
      </c>
      <c r="M2">
        <v>3.92</v>
      </c>
      <c r="N2">
        <v>1065</v>
      </c>
      <c r="P2">
        <v>2</v>
      </c>
      <c r="Q2">
        <v>2</v>
      </c>
      <c r="W2">
        <v>3.3074209742524228</v>
      </c>
      <c r="X2">
        <v>1.4394022532975135</v>
      </c>
      <c r="Z2">
        <v>-0.12729985625773327</v>
      </c>
      <c r="AA2">
        <v>-1.9600089599705797</v>
      </c>
      <c r="AC2">
        <f>IF($A2=AC$1,$X2,NA())</f>
        <v>1.4394022532975135</v>
      </c>
      <c r="AD2" t="e">
        <f t="shared" ref="AD2:AE17" si="0">IF($A2=AD$1,$X2,NA())</f>
        <v>#N/A</v>
      </c>
      <c r="AE2" t="e">
        <f t="shared" si="0"/>
        <v>#N/A</v>
      </c>
      <c r="AG2" t="e">
        <f>IF($P2=AG$1,$X2,NA())</f>
        <v>#N/A</v>
      </c>
      <c r="AH2">
        <f t="shared" ref="AH2:AI17" si="1">IF($P2=AH$1,$X2,NA())</f>
        <v>1.4394022532975135</v>
      </c>
      <c r="AI2" t="e">
        <f t="shared" si="1"/>
        <v>#N/A</v>
      </c>
    </row>
    <row r="3" spans="1:35" x14ac:dyDescent="0.25">
      <c r="A3" t="s">
        <v>14</v>
      </c>
      <c r="B3">
        <v>13.2</v>
      </c>
      <c r="C3">
        <v>1.78</v>
      </c>
      <c r="D3">
        <v>2.14</v>
      </c>
      <c r="E3">
        <v>11.2</v>
      </c>
      <c r="F3">
        <v>100</v>
      </c>
      <c r="G3">
        <v>2.65</v>
      </c>
      <c r="H3">
        <v>2.76</v>
      </c>
      <c r="I3">
        <v>0.26</v>
      </c>
      <c r="J3">
        <v>1.28</v>
      </c>
      <c r="K3">
        <v>4.38</v>
      </c>
      <c r="L3">
        <v>1.05</v>
      </c>
      <c r="M3">
        <v>3.4</v>
      </c>
      <c r="N3">
        <v>1050</v>
      </c>
      <c r="P3">
        <v>2</v>
      </c>
      <c r="Q3">
        <v>2</v>
      </c>
      <c r="W3">
        <v>2.2032498134163294</v>
      </c>
      <c r="X3">
        <v>-0.33245507131350283</v>
      </c>
      <c r="Z3">
        <v>2.2986105138171897</v>
      </c>
      <c r="AA3">
        <v>0.75250463834187808</v>
      </c>
      <c r="AC3">
        <f t="shared" ref="AC3:AE34" si="2">IF($A3=AC$1,$X3,NA())</f>
        <v>-0.33245507131350283</v>
      </c>
      <c r="AD3" t="e">
        <f t="shared" si="0"/>
        <v>#N/A</v>
      </c>
      <c r="AE3" t="e">
        <f t="shared" si="0"/>
        <v>#N/A</v>
      </c>
      <c r="AG3" t="e">
        <f t="shared" ref="AG3:AI34" si="3">IF($P3=AG$1,$X3,NA())</f>
        <v>#N/A</v>
      </c>
      <c r="AH3">
        <f t="shared" si="1"/>
        <v>-0.33245507131350283</v>
      </c>
      <c r="AI3" t="e">
        <f t="shared" si="1"/>
        <v>#N/A</v>
      </c>
    </row>
    <row r="4" spans="1:35" x14ac:dyDescent="0.25">
      <c r="A4" t="s">
        <v>14</v>
      </c>
      <c r="B4">
        <v>13.16</v>
      </c>
      <c r="C4">
        <v>2.36</v>
      </c>
      <c r="D4">
        <v>2.67</v>
      </c>
      <c r="E4">
        <v>18.600000000000001</v>
      </c>
      <c r="F4">
        <v>101</v>
      </c>
      <c r="G4">
        <v>2.8</v>
      </c>
      <c r="H4">
        <v>3.24</v>
      </c>
      <c r="I4">
        <v>0.3</v>
      </c>
      <c r="J4">
        <v>2.81</v>
      </c>
      <c r="K4">
        <v>5.68</v>
      </c>
      <c r="L4">
        <v>1.03</v>
      </c>
      <c r="M4">
        <v>3.17</v>
      </c>
      <c r="N4">
        <v>1185</v>
      </c>
      <c r="P4">
        <v>2</v>
      </c>
      <c r="Q4">
        <v>2</v>
      </c>
      <c r="S4" t="s">
        <v>14</v>
      </c>
      <c r="T4" t="s">
        <v>15</v>
      </c>
      <c r="U4" t="s">
        <v>16</v>
      </c>
      <c r="W4">
        <v>2.5096606947572111</v>
      </c>
      <c r="X4">
        <v>1.0282507242751755</v>
      </c>
      <c r="Z4">
        <v>-2.8865775808322862</v>
      </c>
      <c r="AA4">
        <v>1.0676455903272091</v>
      </c>
      <c r="AC4">
        <f t="shared" si="2"/>
        <v>1.0282507242751755</v>
      </c>
      <c r="AD4" t="e">
        <f t="shared" si="0"/>
        <v>#N/A</v>
      </c>
      <c r="AE4" t="e">
        <f t="shared" si="0"/>
        <v>#N/A</v>
      </c>
      <c r="AG4" t="e">
        <f t="shared" si="3"/>
        <v>#N/A</v>
      </c>
      <c r="AH4">
        <f t="shared" si="1"/>
        <v>1.0282507242751755</v>
      </c>
      <c r="AI4" t="e">
        <f t="shared" si="1"/>
        <v>#N/A</v>
      </c>
    </row>
    <row r="5" spans="1:35" x14ac:dyDescent="0.25">
      <c r="A5" t="s">
        <v>14</v>
      </c>
      <c r="B5">
        <v>14.37</v>
      </c>
      <c r="C5">
        <v>1.95</v>
      </c>
      <c r="D5">
        <v>2.5</v>
      </c>
      <c r="E5">
        <v>16.8</v>
      </c>
      <c r="F5">
        <v>113</v>
      </c>
      <c r="G5">
        <v>3.85</v>
      </c>
      <c r="H5">
        <v>3.49</v>
      </c>
      <c r="I5">
        <v>0.24</v>
      </c>
      <c r="J5">
        <v>2.1800000000000002</v>
      </c>
      <c r="K5">
        <v>7.8</v>
      </c>
      <c r="L5">
        <v>0.86</v>
      </c>
      <c r="M5">
        <v>3.45</v>
      </c>
      <c r="N5">
        <v>1480</v>
      </c>
      <c r="P5">
        <v>2</v>
      </c>
      <c r="Q5">
        <v>2</v>
      </c>
      <c r="R5">
        <v>1</v>
      </c>
      <c r="S5" s="1">
        <f>COUNTIFS($P$2:$P$179,$R5,$A$2:$A$179,S$4)</f>
        <v>0</v>
      </c>
      <c r="T5" s="1">
        <f t="shared" ref="T5:U7" si="4">COUNTIFS($P$2:$P$179,$R5,$A$2:$A$179,T$4)</f>
        <v>64</v>
      </c>
      <c r="U5" s="1">
        <f t="shared" si="4"/>
        <v>0</v>
      </c>
      <c r="W5">
        <v>3.7464971904904152</v>
      </c>
      <c r="X5">
        <v>2.7486183907572199</v>
      </c>
      <c r="AC5">
        <f t="shared" si="2"/>
        <v>2.7486183907572199</v>
      </c>
      <c r="AD5" t="e">
        <f t="shared" si="0"/>
        <v>#N/A</v>
      </c>
      <c r="AE5" t="e">
        <f t="shared" si="0"/>
        <v>#N/A</v>
      </c>
      <c r="AG5" t="e">
        <f t="shared" si="3"/>
        <v>#N/A</v>
      </c>
      <c r="AH5">
        <f t="shared" si="1"/>
        <v>2.7486183907572199</v>
      </c>
      <c r="AI5" t="e">
        <f t="shared" si="1"/>
        <v>#N/A</v>
      </c>
    </row>
    <row r="6" spans="1:35" x14ac:dyDescent="0.25">
      <c r="A6" t="s">
        <v>14</v>
      </c>
      <c r="B6">
        <v>13.24</v>
      </c>
      <c r="C6">
        <v>2.59</v>
      </c>
      <c r="D6">
        <v>2.87</v>
      </c>
      <c r="E6">
        <v>21</v>
      </c>
      <c r="F6">
        <v>118</v>
      </c>
      <c r="G6">
        <v>2.8</v>
      </c>
      <c r="H6">
        <v>2.69</v>
      </c>
      <c r="I6">
        <v>0.39</v>
      </c>
      <c r="J6">
        <v>1.82</v>
      </c>
      <c r="K6">
        <v>4.32</v>
      </c>
      <c r="L6">
        <v>1.04</v>
      </c>
      <c r="M6">
        <v>2.93</v>
      </c>
      <c r="N6">
        <v>735</v>
      </c>
      <c r="P6">
        <v>2</v>
      </c>
      <c r="Q6">
        <v>2</v>
      </c>
      <c r="R6">
        <v>2</v>
      </c>
      <c r="S6" s="1">
        <f t="shared" ref="S6:S7" si="5">COUNTIFS($P$2:$P$179,$R6,$A$2:$A$179,S$4)</f>
        <v>59</v>
      </c>
      <c r="T6" s="1">
        <f t="shared" si="4"/>
        <v>4</v>
      </c>
      <c r="U6" s="1">
        <f t="shared" si="4"/>
        <v>0</v>
      </c>
      <c r="W6">
        <v>1.0060704896013954</v>
      </c>
      <c r="X6">
        <v>0.86738403509774931</v>
      </c>
      <c r="AC6">
        <f t="shared" si="2"/>
        <v>0.86738403509774931</v>
      </c>
      <c r="AD6" t="e">
        <f t="shared" si="0"/>
        <v>#N/A</v>
      </c>
      <c r="AE6" t="e">
        <f t="shared" si="0"/>
        <v>#N/A</v>
      </c>
      <c r="AG6" t="e">
        <f t="shared" si="3"/>
        <v>#N/A</v>
      </c>
      <c r="AH6">
        <f t="shared" si="1"/>
        <v>0.86738403509774931</v>
      </c>
      <c r="AI6" t="e">
        <f t="shared" si="1"/>
        <v>#N/A</v>
      </c>
    </row>
    <row r="7" spans="1:35" x14ac:dyDescent="0.25">
      <c r="A7" t="s">
        <v>14</v>
      </c>
      <c r="B7">
        <v>14.2</v>
      </c>
      <c r="C7">
        <v>1.76</v>
      </c>
      <c r="D7">
        <v>2.4500000000000002</v>
      </c>
      <c r="E7">
        <v>15.2</v>
      </c>
      <c r="F7">
        <v>112</v>
      </c>
      <c r="G7">
        <v>3.27</v>
      </c>
      <c r="H7">
        <v>3.39</v>
      </c>
      <c r="I7">
        <v>0.34</v>
      </c>
      <c r="J7">
        <v>1.97</v>
      </c>
      <c r="K7">
        <v>6.75</v>
      </c>
      <c r="L7">
        <v>1.05</v>
      </c>
      <c r="M7">
        <v>2.85</v>
      </c>
      <c r="N7">
        <v>1450</v>
      </c>
      <c r="P7">
        <v>2</v>
      </c>
      <c r="Q7">
        <v>2</v>
      </c>
      <c r="R7">
        <v>3</v>
      </c>
      <c r="S7" s="1">
        <f t="shared" si="5"/>
        <v>0</v>
      </c>
      <c r="T7" s="1">
        <f t="shared" si="4"/>
        <v>3</v>
      </c>
      <c r="U7" s="1">
        <f t="shared" si="4"/>
        <v>48</v>
      </c>
      <c r="W7">
        <v>3.0416737256157211</v>
      </c>
      <c r="X7">
        <v>2.1164309166921207</v>
      </c>
      <c r="Z7">
        <v>-0.12729985625773327</v>
      </c>
      <c r="AA7">
        <v>-1.9600089599705797</v>
      </c>
      <c r="AC7">
        <f t="shared" si="2"/>
        <v>2.1164309166921207</v>
      </c>
      <c r="AD7" t="e">
        <f t="shared" si="0"/>
        <v>#N/A</v>
      </c>
      <c r="AE7" t="e">
        <f t="shared" si="0"/>
        <v>#N/A</v>
      </c>
      <c r="AG7" t="e">
        <f t="shared" si="3"/>
        <v>#N/A</v>
      </c>
      <c r="AH7">
        <f t="shared" si="1"/>
        <v>2.1164309166921207</v>
      </c>
      <c r="AI7" t="e">
        <f t="shared" si="1"/>
        <v>#N/A</v>
      </c>
    </row>
    <row r="8" spans="1:35" x14ac:dyDescent="0.25">
      <c r="A8" t="s">
        <v>14</v>
      </c>
      <c r="B8">
        <v>14.39</v>
      </c>
      <c r="C8">
        <v>1.87</v>
      </c>
      <c r="D8">
        <v>2.4500000000000002</v>
      </c>
      <c r="E8">
        <v>14.6</v>
      </c>
      <c r="F8">
        <v>96</v>
      </c>
      <c r="G8">
        <v>2.5</v>
      </c>
      <c r="H8">
        <v>2.52</v>
      </c>
      <c r="I8">
        <v>0.3</v>
      </c>
      <c r="J8">
        <v>1.98</v>
      </c>
      <c r="K8">
        <v>5.25</v>
      </c>
      <c r="L8">
        <v>1.02</v>
      </c>
      <c r="M8">
        <v>3.58</v>
      </c>
      <c r="N8">
        <v>1290</v>
      </c>
      <c r="P8">
        <v>2</v>
      </c>
      <c r="Q8">
        <v>2</v>
      </c>
      <c r="S8" s="1"/>
      <c r="T8" s="1"/>
      <c r="U8" s="1"/>
      <c r="W8">
        <v>2.4422005147875789</v>
      </c>
      <c r="X8">
        <v>1.1715453425811919</v>
      </c>
      <c r="Z8">
        <v>2.2986105138171897</v>
      </c>
      <c r="AA8">
        <v>0.75250463834187808</v>
      </c>
      <c r="AC8">
        <f t="shared" si="2"/>
        <v>1.1715453425811919</v>
      </c>
      <c r="AD8" t="e">
        <f t="shared" si="0"/>
        <v>#N/A</v>
      </c>
      <c r="AE8" t="e">
        <f t="shared" si="0"/>
        <v>#N/A</v>
      </c>
      <c r="AG8" t="e">
        <f t="shared" si="3"/>
        <v>#N/A</v>
      </c>
      <c r="AH8">
        <f t="shared" si="1"/>
        <v>1.1715453425811919</v>
      </c>
      <c r="AI8" t="e">
        <f t="shared" si="1"/>
        <v>#N/A</v>
      </c>
    </row>
    <row r="9" spans="1:35" x14ac:dyDescent="0.25">
      <c r="A9" t="s">
        <v>14</v>
      </c>
      <c r="B9">
        <v>14.06</v>
      </c>
      <c r="C9">
        <v>2.15</v>
      </c>
      <c r="D9">
        <v>2.61</v>
      </c>
      <c r="E9">
        <v>17.600000000000001</v>
      </c>
      <c r="F9">
        <v>121</v>
      </c>
      <c r="G9">
        <v>2.6</v>
      </c>
      <c r="H9">
        <v>2.5099999999999998</v>
      </c>
      <c r="I9">
        <v>0.31</v>
      </c>
      <c r="J9">
        <v>1.25</v>
      </c>
      <c r="K9">
        <v>5.05</v>
      </c>
      <c r="L9">
        <v>1.06</v>
      </c>
      <c r="M9">
        <v>3.58</v>
      </c>
      <c r="N9">
        <v>1295</v>
      </c>
      <c r="P9">
        <v>2</v>
      </c>
      <c r="Q9">
        <v>2</v>
      </c>
      <c r="S9" s="1"/>
      <c r="T9" s="1"/>
      <c r="U9" s="1"/>
      <c r="W9">
        <v>2.053643788567511</v>
      </c>
      <c r="X9">
        <v>1.6044371435895104</v>
      </c>
      <c r="Z9">
        <v>-2.8865775808322862</v>
      </c>
      <c r="AA9">
        <v>1.0676455903272091</v>
      </c>
      <c r="AC9">
        <f t="shared" si="2"/>
        <v>1.6044371435895104</v>
      </c>
      <c r="AD9" t="e">
        <f t="shared" si="0"/>
        <v>#N/A</v>
      </c>
      <c r="AE9" t="e">
        <f t="shared" si="0"/>
        <v>#N/A</v>
      </c>
      <c r="AG9" t="e">
        <f t="shared" si="3"/>
        <v>#N/A</v>
      </c>
      <c r="AH9">
        <f t="shared" si="1"/>
        <v>1.6044371435895104</v>
      </c>
      <c r="AI9" t="e">
        <f t="shared" si="1"/>
        <v>#N/A</v>
      </c>
    </row>
    <row r="10" spans="1:35" x14ac:dyDescent="0.25">
      <c r="A10" t="s">
        <v>14</v>
      </c>
      <c r="B10">
        <v>14.83</v>
      </c>
      <c r="C10">
        <v>1.64</v>
      </c>
      <c r="D10">
        <v>2.17</v>
      </c>
      <c r="E10">
        <v>14</v>
      </c>
      <c r="F10">
        <v>97</v>
      </c>
      <c r="G10">
        <v>2.8</v>
      </c>
      <c r="H10">
        <v>2.98</v>
      </c>
      <c r="I10">
        <v>0.28999999999999998</v>
      </c>
      <c r="J10">
        <v>1.98</v>
      </c>
      <c r="K10">
        <v>5.2</v>
      </c>
      <c r="L10">
        <v>1.08</v>
      </c>
      <c r="M10">
        <v>2.85</v>
      </c>
      <c r="N10">
        <v>1045</v>
      </c>
      <c r="P10">
        <v>2</v>
      </c>
      <c r="Q10">
        <v>2</v>
      </c>
      <c r="S10" s="1"/>
      <c r="T10" s="1"/>
      <c r="U10" s="1"/>
      <c r="W10">
        <v>2.503811345854964</v>
      </c>
      <c r="X10">
        <v>0.91548847401792266</v>
      </c>
      <c r="AC10">
        <f t="shared" si="2"/>
        <v>0.91548847401792266</v>
      </c>
      <c r="AD10" t="e">
        <f t="shared" si="0"/>
        <v>#N/A</v>
      </c>
      <c r="AE10" t="e">
        <f t="shared" si="0"/>
        <v>#N/A</v>
      </c>
      <c r="AG10" t="e">
        <f t="shared" si="3"/>
        <v>#N/A</v>
      </c>
      <c r="AH10">
        <f t="shared" si="1"/>
        <v>0.91548847401792266</v>
      </c>
      <c r="AI10" t="e">
        <f t="shared" si="1"/>
        <v>#N/A</v>
      </c>
    </row>
    <row r="11" spans="1:35" x14ac:dyDescent="0.25">
      <c r="A11" t="s">
        <v>14</v>
      </c>
      <c r="B11">
        <v>13.86</v>
      </c>
      <c r="C11">
        <v>1.35</v>
      </c>
      <c r="D11">
        <v>2.27</v>
      </c>
      <c r="E11">
        <v>16</v>
      </c>
      <c r="F11">
        <v>98</v>
      </c>
      <c r="G11">
        <v>2.98</v>
      </c>
      <c r="H11">
        <v>3.15</v>
      </c>
      <c r="I11">
        <v>0.22</v>
      </c>
      <c r="J11">
        <v>1.85</v>
      </c>
      <c r="K11">
        <v>7.22</v>
      </c>
      <c r="L11">
        <v>1.01</v>
      </c>
      <c r="M11">
        <v>3.55</v>
      </c>
      <c r="N11">
        <v>1045</v>
      </c>
      <c r="P11">
        <v>2</v>
      </c>
      <c r="Q11">
        <v>2</v>
      </c>
      <c r="S11" s="1"/>
      <c r="T11" s="1"/>
      <c r="U11" s="1"/>
      <c r="W11">
        <v>2.7458823827260908</v>
      </c>
      <c r="X11">
        <v>0.78721702890880862</v>
      </c>
      <c r="AC11">
        <f t="shared" si="2"/>
        <v>0.78721702890880862</v>
      </c>
      <c r="AD11" t="e">
        <f t="shared" si="0"/>
        <v>#N/A</v>
      </c>
      <c r="AE11" t="e">
        <f t="shared" si="0"/>
        <v>#N/A</v>
      </c>
      <c r="AG11" t="e">
        <f t="shared" si="3"/>
        <v>#N/A</v>
      </c>
      <c r="AH11">
        <f t="shared" si="1"/>
        <v>0.78721702890880862</v>
      </c>
      <c r="AI11" t="e">
        <f t="shared" si="1"/>
        <v>#N/A</v>
      </c>
    </row>
    <row r="12" spans="1:35" x14ac:dyDescent="0.25">
      <c r="A12" t="s">
        <v>14</v>
      </c>
      <c r="B12">
        <v>14.1</v>
      </c>
      <c r="C12">
        <v>2.16</v>
      </c>
      <c r="D12">
        <v>2.2999999999999998</v>
      </c>
      <c r="E12">
        <v>18</v>
      </c>
      <c r="F12">
        <v>105</v>
      </c>
      <c r="G12">
        <v>2.95</v>
      </c>
      <c r="H12">
        <v>3.32</v>
      </c>
      <c r="I12">
        <v>0.22</v>
      </c>
      <c r="J12">
        <v>2.38</v>
      </c>
      <c r="K12">
        <v>5.75</v>
      </c>
      <c r="L12">
        <v>1.25</v>
      </c>
      <c r="M12">
        <v>3.17</v>
      </c>
      <c r="N12">
        <v>1510</v>
      </c>
      <c r="P12">
        <v>2</v>
      </c>
      <c r="Q12">
        <v>2</v>
      </c>
      <c r="S12" s="1"/>
      <c r="T12" s="1"/>
      <c r="U12" s="1"/>
      <c r="W12">
        <v>3.4699483745062878</v>
      </c>
      <c r="X12">
        <v>1.2986698452615371</v>
      </c>
      <c r="AC12">
        <f t="shared" si="2"/>
        <v>1.2986698452615371</v>
      </c>
      <c r="AD12" t="e">
        <f t="shared" si="0"/>
        <v>#N/A</v>
      </c>
      <c r="AE12" t="e">
        <f t="shared" si="0"/>
        <v>#N/A</v>
      </c>
      <c r="AG12" t="e">
        <f t="shared" si="3"/>
        <v>#N/A</v>
      </c>
      <c r="AH12">
        <f t="shared" si="1"/>
        <v>1.2986698452615371</v>
      </c>
      <c r="AI12" t="e">
        <f t="shared" si="1"/>
        <v>#N/A</v>
      </c>
    </row>
    <row r="13" spans="1:35" x14ac:dyDescent="0.25">
      <c r="A13" t="s">
        <v>14</v>
      </c>
      <c r="B13">
        <v>14.12</v>
      </c>
      <c r="C13">
        <v>1.48</v>
      </c>
      <c r="D13">
        <v>2.3199999999999998</v>
      </c>
      <c r="E13">
        <v>16.8</v>
      </c>
      <c r="F13">
        <v>95</v>
      </c>
      <c r="G13">
        <v>2.2000000000000002</v>
      </c>
      <c r="H13">
        <v>2.4300000000000002</v>
      </c>
      <c r="I13">
        <v>0.26</v>
      </c>
      <c r="J13">
        <v>1.57</v>
      </c>
      <c r="K13">
        <v>5</v>
      </c>
      <c r="L13">
        <v>1.17</v>
      </c>
      <c r="M13">
        <v>2.82</v>
      </c>
      <c r="N13">
        <v>1280</v>
      </c>
      <c r="P13">
        <v>2</v>
      </c>
      <c r="Q13">
        <v>2</v>
      </c>
      <c r="S13" s="1"/>
      <c r="T13" s="1"/>
      <c r="U13" s="1"/>
      <c r="W13">
        <v>1.7498168777195653</v>
      </c>
      <c r="X13">
        <v>0.61025577034394729</v>
      </c>
      <c r="AC13">
        <f t="shared" si="2"/>
        <v>0.61025577034394729</v>
      </c>
      <c r="AD13" t="e">
        <f t="shared" si="0"/>
        <v>#N/A</v>
      </c>
      <c r="AE13" t="e">
        <f t="shared" si="0"/>
        <v>#N/A</v>
      </c>
      <c r="AG13" t="e">
        <f t="shared" si="3"/>
        <v>#N/A</v>
      </c>
      <c r="AH13">
        <f t="shared" si="1"/>
        <v>0.61025577034394729</v>
      </c>
      <c r="AI13" t="e">
        <f t="shared" si="1"/>
        <v>#N/A</v>
      </c>
    </row>
    <row r="14" spans="1:35" x14ac:dyDescent="0.25">
      <c r="A14" t="s">
        <v>14</v>
      </c>
      <c r="B14">
        <v>13.75</v>
      </c>
      <c r="C14">
        <v>1.73</v>
      </c>
      <c r="D14">
        <v>2.41</v>
      </c>
      <c r="E14">
        <v>16</v>
      </c>
      <c r="F14">
        <v>89</v>
      </c>
      <c r="G14">
        <v>2.6</v>
      </c>
      <c r="H14">
        <v>2.76</v>
      </c>
      <c r="I14">
        <v>0.28999999999999998</v>
      </c>
      <c r="J14">
        <v>1.81</v>
      </c>
      <c r="K14">
        <v>5.6</v>
      </c>
      <c r="L14">
        <v>1.1499999999999999</v>
      </c>
      <c r="M14">
        <v>2.9</v>
      </c>
      <c r="N14">
        <v>1320</v>
      </c>
      <c r="P14">
        <v>2</v>
      </c>
      <c r="Q14">
        <v>2</v>
      </c>
      <c r="S14" s="1"/>
      <c r="T14" s="1"/>
      <c r="U14" s="1"/>
      <c r="W14">
        <v>2.1075172867958845</v>
      </c>
      <c r="X14">
        <v>0.67380561413271745</v>
      </c>
      <c r="AC14">
        <f t="shared" si="2"/>
        <v>0.67380561413271745</v>
      </c>
      <c r="AD14" t="e">
        <f t="shared" si="0"/>
        <v>#N/A</v>
      </c>
      <c r="AE14" t="e">
        <f t="shared" si="0"/>
        <v>#N/A</v>
      </c>
      <c r="AG14" t="e">
        <f t="shared" si="3"/>
        <v>#N/A</v>
      </c>
      <c r="AH14">
        <f t="shared" si="1"/>
        <v>0.67380561413271745</v>
      </c>
      <c r="AI14" t="e">
        <f t="shared" si="1"/>
        <v>#N/A</v>
      </c>
    </row>
    <row r="15" spans="1:35" x14ac:dyDescent="0.25">
      <c r="A15" t="s">
        <v>14</v>
      </c>
      <c r="B15">
        <v>14.75</v>
      </c>
      <c r="C15">
        <v>1.73</v>
      </c>
      <c r="D15">
        <v>2.39</v>
      </c>
      <c r="E15">
        <v>11.4</v>
      </c>
      <c r="F15">
        <v>91</v>
      </c>
      <c r="G15">
        <v>3.1</v>
      </c>
      <c r="H15">
        <v>3.69</v>
      </c>
      <c r="I15">
        <v>0.43</v>
      </c>
      <c r="J15">
        <v>2.81</v>
      </c>
      <c r="K15">
        <v>5.4</v>
      </c>
      <c r="L15">
        <v>1.25</v>
      </c>
      <c r="M15">
        <v>2.73</v>
      </c>
      <c r="N15">
        <v>1150</v>
      </c>
      <c r="P15">
        <v>2</v>
      </c>
      <c r="Q15">
        <v>2</v>
      </c>
      <c r="S15" s="1"/>
      <c r="T15" s="1"/>
      <c r="U15" s="1"/>
      <c r="W15">
        <v>3.4484292140855577</v>
      </c>
      <c r="X15">
        <v>1.1274494760833895</v>
      </c>
      <c r="AC15">
        <f t="shared" si="2"/>
        <v>1.1274494760833895</v>
      </c>
      <c r="AD15" t="e">
        <f t="shared" si="0"/>
        <v>#N/A</v>
      </c>
      <c r="AE15" t="e">
        <f t="shared" si="0"/>
        <v>#N/A</v>
      </c>
      <c r="AG15" t="e">
        <f t="shared" si="3"/>
        <v>#N/A</v>
      </c>
      <c r="AH15">
        <f t="shared" si="1"/>
        <v>1.1274494760833895</v>
      </c>
      <c r="AI15" t="e">
        <f t="shared" si="1"/>
        <v>#N/A</v>
      </c>
    </row>
    <row r="16" spans="1:35" x14ac:dyDescent="0.25">
      <c r="A16" t="s">
        <v>14</v>
      </c>
      <c r="B16">
        <v>14.38</v>
      </c>
      <c r="C16">
        <v>1.87</v>
      </c>
      <c r="D16">
        <v>2.38</v>
      </c>
      <c r="E16">
        <v>12</v>
      </c>
      <c r="F16">
        <v>102</v>
      </c>
      <c r="G16">
        <v>3.3</v>
      </c>
      <c r="H16">
        <v>3.64</v>
      </c>
      <c r="I16">
        <v>0.28999999999999998</v>
      </c>
      <c r="J16">
        <v>2.96</v>
      </c>
      <c r="K16">
        <v>7.5</v>
      </c>
      <c r="L16">
        <v>1.2</v>
      </c>
      <c r="M16">
        <v>3</v>
      </c>
      <c r="N16">
        <v>1547</v>
      </c>
      <c r="P16">
        <v>2</v>
      </c>
      <c r="Q16">
        <v>2</v>
      </c>
      <c r="W16">
        <v>4.3006522824457196</v>
      </c>
      <c r="X16">
        <v>2.0900797109788209</v>
      </c>
      <c r="AC16">
        <f t="shared" si="2"/>
        <v>2.0900797109788209</v>
      </c>
      <c r="AD16" t="e">
        <f t="shared" si="0"/>
        <v>#N/A</v>
      </c>
      <c r="AE16" t="e">
        <f t="shared" si="0"/>
        <v>#N/A</v>
      </c>
      <c r="AG16" t="e">
        <f t="shared" si="3"/>
        <v>#N/A</v>
      </c>
      <c r="AH16">
        <f t="shared" si="1"/>
        <v>2.0900797109788209</v>
      </c>
      <c r="AI16" t="e">
        <f t="shared" si="1"/>
        <v>#N/A</v>
      </c>
    </row>
    <row r="17" spans="1:35" x14ac:dyDescent="0.25">
      <c r="A17" t="s">
        <v>14</v>
      </c>
      <c r="B17">
        <v>13.63</v>
      </c>
      <c r="C17">
        <v>1.81</v>
      </c>
      <c r="D17">
        <v>2.7</v>
      </c>
      <c r="E17">
        <v>17.2</v>
      </c>
      <c r="F17">
        <v>112</v>
      </c>
      <c r="G17">
        <v>2.85</v>
      </c>
      <c r="H17">
        <v>2.91</v>
      </c>
      <c r="I17">
        <v>0.3</v>
      </c>
      <c r="J17">
        <v>1.46</v>
      </c>
      <c r="K17">
        <v>7.3</v>
      </c>
      <c r="L17">
        <v>1.28</v>
      </c>
      <c r="M17">
        <v>2.88</v>
      </c>
      <c r="N17">
        <v>1310</v>
      </c>
      <c r="P17">
        <v>2</v>
      </c>
      <c r="Q17">
        <v>2</v>
      </c>
      <c r="W17">
        <v>2.298703833016456</v>
      </c>
      <c r="X17">
        <v>1.657875063169344</v>
      </c>
      <c r="AC17">
        <f t="shared" si="2"/>
        <v>1.657875063169344</v>
      </c>
      <c r="AD17" t="e">
        <f t="shared" si="0"/>
        <v>#N/A</v>
      </c>
      <c r="AE17" t="e">
        <f t="shared" si="0"/>
        <v>#N/A</v>
      </c>
      <c r="AG17" t="e">
        <f t="shared" si="3"/>
        <v>#N/A</v>
      </c>
      <c r="AH17">
        <f t="shared" si="1"/>
        <v>1.657875063169344</v>
      </c>
      <c r="AI17" t="e">
        <f t="shared" si="1"/>
        <v>#N/A</v>
      </c>
    </row>
    <row r="18" spans="1:35" x14ac:dyDescent="0.25">
      <c r="A18" t="s">
        <v>14</v>
      </c>
      <c r="B18">
        <v>14.3</v>
      </c>
      <c r="C18">
        <v>1.92</v>
      </c>
      <c r="D18">
        <v>2.72</v>
      </c>
      <c r="E18">
        <v>20</v>
      </c>
      <c r="F18">
        <v>120</v>
      </c>
      <c r="G18">
        <v>2.8</v>
      </c>
      <c r="H18">
        <v>3.14</v>
      </c>
      <c r="I18">
        <v>0.33</v>
      </c>
      <c r="J18">
        <v>1.97</v>
      </c>
      <c r="K18">
        <v>6.2</v>
      </c>
      <c r="L18">
        <v>1.07</v>
      </c>
      <c r="M18">
        <v>2.65</v>
      </c>
      <c r="N18">
        <v>1280</v>
      </c>
      <c r="P18">
        <v>2</v>
      </c>
      <c r="Q18">
        <v>2</v>
      </c>
      <c r="W18">
        <v>2.1658456828081483</v>
      </c>
      <c r="X18">
        <v>2.3207587540923384</v>
      </c>
      <c r="AC18">
        <f t="shared" si="2"/>
        <v>2.3207587540923384</v>
      </c>
      <c r="AD18" t="e">
        <f t="shared" si="2"/>
        <v>#N/A</v>
      </c>
      <c r="AE18" t="e">
        <f t="shared" si="2"/>
        <v>#N/A</v>
      </c>
      <c r="AG18" t="e">
        <f t="shared" si="3"/>
        <v>#N/A</v>
      </c>
      <c r="AH18">
        <f t="shared" si="3"/>
        <v>2.3207587540923384</v>
      </c>
      <c r="AI18" t="e">
        <f t="shared" si="3"/>
        <v>#N/A</v>
      </c>
    </row>
    <row r="19" spans="1:35" x14ac:dyDescent="0.25">
      <c r="A19" t="s">
        <v>14</v>
      </c>
      <c r="B19">
        <v>13.83</v>
      </c>
      <c r="C19">
        <v>1.57</v>
      </c>
      <c r="D19">
        <v>2.62</v>
      </c>
      <c r="E19">
        <v>20</v>
      </c>
      <c r="F19">
        <v>115</v>
      </c>
      <c r="G19">
        <v>2.95</v>
      </c>
      <c r="H19">
        <v>3.4</v>
      </c>
      <c r="I19">
        <v>0.4</v>
      </c>
      <c r="J19">
        <v>1.72</v>
      </c>
      <c r="K19">
        <v>6.6</v>
      </c>
      <c r="L19">
        <v>1.1299999999999999</v>
      </c>
      <c r="M19">
        <v>2.57</v>
      </c>
      <c r="N19">
        <v>1130</v>
      </c>
      <c r="P19">
        <v>2</v>
      </c>
      <c r="Q19">
        <v>2</v>
      </c>
      <c r="W19">
        <v>1.8936294749225133</v>
      </c>
      <c r="X19">
        <v>1.6267799274746659</v>
      </c>
      <c r="AC19">
        <f t="shared" si="2"/>
        <v>1.6267799274746659</v>
      </c>
      <c r="AD19" t="e">
        <f t="shared" si="2"/>
        <v>#N/A</v>
      </c>
      <c r="AE19" t="e">
        <f t="shared" si="2"/>
        <v>#N/A</v>
      </c>
      <c r="AG19" t="e">
        <f t="shared" si="3"/>
        <v>#N/A</v>
      </c>
      <c r="AH19">
        <f t="shared" si="3"/>
        <v>1.6267799274746659</v>
      </c>
      <c r="AI19" t="e">
        <f t="shared" si="3"/>
        <v>#N/A</v>
      </c>
    </row>
    <row r="20" spans="1:35" x14ac:dyDescent="0.25">
      <c r="A20" t="s">
        <v>14</v>
      </c>
      <c r="B20">
        <v>14.19</v>
      </c>
      <c r="C20">
        <v>1.59</v>
      </c>
      <c r="D20">
        <v>2.48</v>
      </c>
      <c r="E20">
        <v>16.5</v>
      </c>
      <c r="F20">
        <v>108</v>
      </c>
      <c r="G20">
        <v>3.3</v>
      </c>
      <c r="H20">
        <v>3.93</v>
      </c>
      <c r="I20">
        <v>0.32</v>
      </c>
      <c r="J20">
        <v>1.86</v>
      </c>
      <c r="K20">
        <v>8.6999999999999993</v>
      </c>
      <c r="L20">
        <v>1.23</v>
      </c>
      <c r="M20">
        <v>2.82</v>
      </c>
      <c r="N20">
        <v>1680</v>
      </c>
      <c r="P20">
        <v>2</v>
      </c>
      <c r="Q20">
        <v>2</v>
      </c>
      <c r="W20">
        <v>3.532021672412081</v>
      </c>
      <c r="X20">
        <v>2.5112597066386995</v>
      </c>
      <c r="AC20">
        <f t="shared" si="2"/>
        <v>2.5112597066386995</v>
      </c>
      <c r="AD20" t="e">
        <f t="shared" si="2"/>
        <v>#N/A</v>
      </c>
      <c r="AE20" t="e">
        <f t="shared" si="2"/>
        <v>#N/A</v>
      </c>
      <c r="AG20" t="e">
        <f t="shared" si="3"/>
        <v>#N/A</v>
      </c>
      <c r="AH20">
        <f t="shared" si="3"/>
        <v>2.5112597066386995</v>
      </c>
      <c r="AI20" t="e">
        <f t="shared" si="3"/>
        <v>#N/A</v>
      </c>
    </row>
    <row r="21" spans="1:35" x14ac:dyDescent="0.25">
      <c r="A21" t="s">
        <v>14</v>
      </c>
      <c r="B21">
        <v>13.64</v>
      </c>
      <c r="C21">
        <v>3.1</v>
      </c>
      <c r="D21">
        <v>2.56</v>
      </c>
      <c r="E21">
        <v>15.2</v>
      </c>
      <c r="F21">
        <v>116</v>
      </c>
      <c r="G21">
        <v>2.7</v>
      </c>
      <c r="H21">
        <v>3.03</v>
      </c>
      <c r="I21">
        <v>0.17</v>
      </c>
      <c r="J21">
        <v>1.66</v>
      </c>
      <c r="K21">
        <v>5.0999999999999996</v>
      </c>
      <c r="L21">
        <v>0.96</v>
      </c>
      <c r="M21">
        <v>3.36</v>
      </c>
      <c r="N21">
        <v>845</v>
      </c>
      <c r="P21">
        <v>2</v>
      </c>
      <c r="Q21">
        <v>2</v>
      </c>
      <c r="W21">
        <v>2.0786585582274442</v>
      </c>
      <c r="X21">
        <v>1.0581530707832361</v>
      </c>
      <c r="AC21">
        <f t="shared" si="2"/>
        <v>1.0581530707832361</v>
      </c>
      <c r="AD21" t="e">
        <f t="shared" si="2"/>
        <v>#N/A</v>
      </c>
      <c r="AE21" t="e">
        <f t="shared" si="2"/>
        <v>#N/A</v>
      </c>
      <c r="AG21" t="e">
        <f t="shared" si="3"/>
        <v>#N/A</v>
      </c>
      <c r="AH21">
        <f t="shared" si="3"/>
        <v>1.0581530707832361</v>
      </c>
      <c r="AI21" t="e">
        <f t="shared" si="3"/>
        <v>#N/A</v>
      </c>
    </row>
    <row r="22" spans="1:35" x14ac:dyDescent="0.25">
      <c r="A22" t="s">
        <v>14</v>
      </c>
      <c r="B22">
        <v>14.06</v>
      </c>
      <c r="C22">
        <v>1.63</v>
      </c>
      <c r="D22">
        <v>2.2799999999999998</v>
      </c>
      <c r="E22">
        <v>16</v>
      </c>
      <c r="F22">
        <v>126</v>
      </c>
      <c r="G22">
        <v>3</v>
      </c>
      <c r="H22">
        <v>3.17</v>
      </c>
      <c r="I22">
        <v>0.24</v>
      </c>
      <c r="J22">
        <v>2.1</v>
      </c>
      <c r="K22">
        <v>5.65</v>
      </c>
      <c r="L22">
        <v>1.0900000000000001</v>
      </c>
      <c r="M22">
        <v>3.71</v>
      </c>
      <c r="N22">
        <v>780</v>
      </c>
      <c r="P22">
        <v>2</v>
      </c>
      <c r="Q22">
        <v>2</v>
      </c>
      <c r="W22">
        <v>3.1156137623711517</v>
      </c>
      <c r="X22">
        <v>0.78468360745411359</v>
      </c>
      <c r="AC22">
        <f t="shared" si="2"/>
        <v>0.78468360745411359</v>
      </c>
      <c r="AD22" t="e">
        <f t="shared" si="2"/>
        <v>#N/A</v>
      </c>
      <c r="AE22" t="e">
        <f t="shared" si="2"/>
        <v>#N/A</v>
      </c>
      <c r="AG22" t="e">
        <f t="shared" si="3"/>
        <v>#N/A</v>
      </c>
      <c r="AH22">
        <f t="shared" si="3"/>
        <v>0.78468360745411359</v>
      </c>
      <c r="AI22" t="e">
        <f t="shared" si="3"/>
        <v>#N/A</v>
      </c>
    </row>
    <row r="23" spans="1:35" x14ac:dyDescent="0.25">
      <c r="A23" t="s">
        <v>14</v>
      </c>
      <c r="B23">
        <v>12.93</v>
      </c>
      <c r="C23">
        <v>3.8</v>
      </c>
      <c r="D23">
        <v>2.65</v>
      </c>
      <c r="E23">
        <v>18.600000000000001</v>
      </c>
      <c r="F23">
        <v>102</v>
      </c>
      <c r="G23">
        <v>2.41</v>
      </c>
      <c r="H23">
        <v>2.41</v>
      </c>
      <c r="I23">
        <v>0.25</v>
      </c>
      <c r="J23">
        <v>1.98</v>
      </c>
      <c r="K23">
        <v>4.5</v>
      </c>
      <c r="L23">
        <v>1.03</v>
      </c>
      <c r="M23">
        <v>3.52</v>
      </c>
      <c r="N23">
        <v>770</v>
      </c>
      <c r="P23">
        <v>2</v>
      </c>
      <c r="Q23">
        <v>2</v>
      </c>
      <c r="W23">
        <v>1.0835136063923398</v>
      </c>
      <c r="X23">
        <v>0.2410635400592426</v>
      </c>
      <c r="AC23">
        <f t="shared" si="2"/>
        <v>0.2410635400592426</v>
      </c>
      <c r="AD23" t="e">
        <f t="shared" si="2"/>
        <v>#N/A</v>
      </c>
      <c r="AE23" t="e">
        <f t="shared" si="2"/>
        <v>#N/A</v>
      </c>
      <c r="AG23" t="e">
        <f t="shared" si="3"/>
        <v>#N/A</v>
      </c>
      <c r="AH23">
        <f t="shared" si="3"/>
        <v>0.2410635400592426</v>
      </c>
      <c r="AI23" t="e">
        <f t="shared" si="3"/>
        <v>#N/A</v>
      </c>
    </row>
    <row r="24" spans="1:35" x14ac:dyDescent="0.25">
      <c r="A24" t="s">
        <v>14</v>
      </c>
      <c r="B24">
        <v>13.71</v>
      </c>
      <c r="C24">
        <v>1.86</v>
      </c>
      <c r="D24">
        <v>2.36</v>
      </c>
      <c r="E24">
        <v>16.600000000000001</v>
      </c>
      <c r="F24">
        <v>101</v>
      </c>
      <c r="G24">
        <v>2.61</v>
      </c>
      <c r="H24">
        <v>2.88</v>
      </c>
      <c r="I24">
        <v>0.27</v>
      </c>
      <c r="J24">
        <v>1.69</v>
      </c>
      <c r="K24">
        <v>3.8</v>
      </c>
      <c r="L24">
        <v>1.1100000000000001</v>
      </c>
      <c r="M24">
        <v>4</v>
      </c>
      <c r="N24">
        <v>1035</v>
      </c>
      <c r="P24">
        <v>2</v>
      </c>
      <c r="Q24">
        <v>2</v>
      </c>
      <c r="W24">
        <v>2.5280926337356022</v>
      </c>
      <c r="X24">
        <v>-9.1582278167977593E-2</v>
      </c>
      <c r="AC24">
        <f t="shared" si="2"/>
        <v>-9.1582278167977593E-2</v>
      </c>
      <c r="AD24" t="e">
        <f t="shared" si="2"/>
        <v>#N/A</v>
      </c>
      <c r="AE24" t="e">
        <f t="shared" si="2"/>
        <v>#N/A</v>
      </c>
      <c r="AG24" t="e">
        <f t="shared" si="3"/>
        <v>#N/A</v>
      </c>
      <c r="AH24">
        <f t="shared" si="3"/>
        <v>-9.1582278167977593E-2</v>
      </c>
      <c r="AI24" t="e">
        <f t="shared" si="3"/>
        <v>#N/A</v>
      </c>
    </row>
    <row r="25" spans="1:35" x14ac:dyDescent="0.25">
      <c r="A25" t="s">
        <v>14</v>
      </c>
      <c r="B25">
        <v>12.85</v>
      </c>
      <c r="C25">
        <v>1.6</v>
      </c>
      <c r="D25">
        <v>2.52</v>
      </c>
      <c r="E25">
        <v>17.8</v>
      </c>
      <c r="F25">
        <v>95</v>
      </c>
      <c r="G25">
        <v>2.48</v>
      </c>
      <c r="H25">
        <v>2.37</v>
      </c>
      <c r="I25">
        <v>0.26</v>
      </c>
      <c r="J25">
        <v>1.46</v>
      </c>
      <c r="K25">
        <v>3.93</v>
      </c>
      <c r="L25">
        <v>1.0900000000000001</v>
      </c>
      <c r="M25">
        <v>3.63</v>
      </c>
      <c r="N25">
        <v>1015</v>
      </c>
      <c r="P25">
        <v>2</v>
      </c>
      <c r="Q25">
        <v>2</v>
      </c>
      <c r="W25">
        <v>1.640361079353218</v>
      </c>
      <c r="X25">
        <v>-0.51482666586398917</v>
      </c>
      <c r="AC25">
        <f t="shared" si="2"/>
        <v>-0.51482666586398917</v>
      </c>
      <c r="AD25" t="e">
        <f t="shared" si="2"/>
        <v>#N/A</v>
      </c>
      <c r="AE25" t="e">
        <f t="shared" si="2"/>
        <v>#N/A</v>
      </c>
      <c r="AG25" t="e">
        <f t="shared" si="3"/>
        <v>#N/A</v>
      </c>
      <c r="AH25">
        <f t="shared" si="3"/>
        <v>-0.51482666586398917</v>
      </c>
      <c r="AI25" t="e">
        <f t="shared" si="3"/>
        <v>#N/A</v>
      </c>
    </row>
    <row r="26" spans="1:35" x14ac:dyDescent="0.25">
      <c r="A26" t="s">
        <v>14</v>
      </c>
      <c r="B26">
        <v>13.5</v>
      </c>
      <c r="C26">
        <v>1.81</v>
      </c>
      <c r="D26">
        <v>2.61</v>
      </c>
      <c r="E26">
        <v>20</v>
      </c>
      <c r="F26">
        <v>96</v>
      </c>
      <c r="G26">
        <v>2.5299999999999998</v>
      </c>
      <c r="H26">
        <v>2.61</v>
      </c>
      <c r="I26">
        <v>0.28000000000000003</v>
      </c>
      <c r="J26">
        <v>1.66</v>
      </c>
      <c r="K26">
        <v>3.52</v>
      </c>
      <c r="L26">
        <v>1.1200000000000001</v>
      </c>
      <c r="M26">
        <v>3.82</v>
      </c>
      <c r="N26">
        <v>845</v>
      </c>
      <c r="P26">
        <v>2</v>
      </c>
      <c r="Q26">
        <v>2</v>
      </c>
      <c r="W26">
        <v>1.756620656036588</v>
      </c>
      <c r="X26">
        <v>-0.31625681022343932</v>
      </c>
      <c r="AC26">
        <f t="shared" si="2"/>
        <v>-0.31625681022343932</v>
      </c>
      <c r="AD26" t="e">
        <f t="shared" si="2"/>
        <v>#N/A</v>
      </c>
      <c r="AE26" t="e">
        <f t="shared" si="2"/>
        <v>#N/A</v>
      </c>
      <c r="AG26" t="e">
        <f t="shared" si="3"/>
        <v>#N/A</v>
      </c>
      <c r="AH26">
        <f t="shared" si="3"/>
        <v>-0.31625681022343932</v>
      </c>
      <c r="AI26" t="e">
        <f t="shared" si="3"/>
        <v>#N/A</v>
      </c>
    </row>
    <row r="27" spans="1:35" x14ac:dyDescent="0.25">
      <c r="A27" t="s">
        <v>14</v>
      </c>
      <c r="B27">
        <v>13.05</v>
      </c>
      <c r="C27">
        <v>2.0499999999999998</v>
      </c>
      <c r="D27">
        <v>3.22</v>
      </c>
      <c r="E27">
        <v>25</v>
      </c>
      <c r="F27">
        <v>124</v>
      </c>
      <c r="G27">
        <v>2.63</v>
      </c>
      <c r="H27">
        <v>2.68</v>
      </c>
      <c r="I27">
        <v>0.47</v>
      </c>
      <c r="J27">
        <v>1.92</v>
      </c>
      <c r="K27">
        <v>3.58</v>
      </c>
      <c r="L27">
        <v>1.1299999999999999</v>
      </c>
      <c r="M27">
        <v>3.2</v>
      </c>
      <c r="N27">
        <v>830</v>
      </c>
      <c r="P27">
        <v>2</v>
      </c>
      <c r="Q27">
        <v>2</v>
      </c>
      <c r="W27">
        <v>0.98729406344059201</v>
      </c>
      <c r="X27">
        <v>0.93802129263721568</v>
      </c>
      <c r="AC27">
        <f t="shared" si="2"/>
        <v>0.93802129263721568</v>
      </c>
      <c r="AD27" t="e">
        <f t="shared" si="2"/>
        <v>#N/A</v>
      </c>
      <c r="AE27" t="e">
        <f t="shared" si="2"/>
        <v>#N/A</v>
      </c>
      <c r="AG27" t="e">
        <f t="shared" si="3"/>
        <v>#N/A</v>
      </c>
      <c r="AH27">
        <f t="shared" si="3"/>
        <v>0.93802129263721568</v>
      </c>
      <c r="AI27" t="e">
        <f t="shared" si="3"/>
        <v>#N/A</v>
      </c>
    </row>
    <row r="28" spans="1:35" x14ac:dyDescent="0.25">
      <c r="A28" t="s">
        <v>14</v>
      </c>
      <c r="B28">
        <v>13.39</v>
      </c>
      <c r="C28">
        <v>1.77</v>
      </c>
      <c r="D28">
        <v>2.62</v>
      </c>
      <c r="E28">
        <v>16.100000000000001</v>
      </c>
      <c r="F28">
        <v>93</v>
      </c>
      <c r="G28">
        <v>2.85</v>
      </c>
      <c r="H28">
        <v>2.94</v>
      </c>
      <c r="I28">
        <v>0.34</v>
      </c>
      <c r="J28">
        <v>1.45</v>
      </c>
      <c r="K28">
        <v>4.8</v>
      </c>
      <c r="L28">
        <v>0.92</v>
      </c>
      <c r="M28">
        <v>3.22</v>
      </c>
      <c r="N28">
        <v>1195</v>
      </c>
      <c r="P28">
        <v>2</v>
      </c>
      <c r="Q28">
        <v>2</v>
      </c>
      <c r="W28">
        <v>1.7702838696042669</v>
      </c>
      <c r="X28">
        <v>0.68424496104138921</v>
      </c>
      <c r="AC28">
        <f t="shared" si="2"/>
        <v>0.68424496104138921</v>
      </c>
      <c r="AD28" t="e">
        <f t="shared" si="2"/>
        <v>#N/A</v>
      </c>
      <c r="AE28" t="e">
        <f t="shared" si="2"/>
        <v>#N/A</v>
      </c>
      <c r="AG28" t="e">
        <f t="shared" si="3"/>
        <v>#N/A</v>
      </c>
      <c r="AH28">
        <f t="shared" si="3"/>
        <v>0.68424496104138921</v>
      </c>
      <c r="AI28" t="e">
        <f t="shared" si="3"/>
        <v>#N/A</v>
      </c>
    </row>
    <row r="29" spans="1:35" x14ac:dyDescent="0.25">
      <c r="A29" t="s">
        <v>14</v>
      </c>
      <c r="B29">
        <v>13.3</v>
      </c>
      <c r="C29">
        <v>1.72</v>
      </c>
      <c r="D29">
        <v>2.14</v>
      </c>
      <c r="E29">
        <v>17</v>
      </c>
      <c r="F29">
        <v>94</v>
      </c>
      <c r="G29">
        <v>2.4</v>
      </c>
      <c r="H29">
        <v>2.19</v>
      </c>
      <c r="I29">
        <v>0.27</v>
      </c>
      <c r="J29">
        <v>1.35</v>
      </c>
      <c r="K29">
        <v>3.95</v>
      </c>
      <c r="L29">
        <v>1.02</v>
      </c>
      <c r="M29">
        <v>2.77</v>
      </c>
      <c r="N29">
        <v>1285</v>
      </c>
      <c r="P29">
        <v>2</v>
      </c>
      <c r="Q29">
        <v>2</v>
      </c>
      <c r="W29">
        <v>1.2319487845190027</v>
      </c>
      <c r="X29">
        <v>-8.9554419133330065E-2</v>
      </c>
      <c r="AC29">
        <f t="shared" si="2"/>
        <v>-8.9554419133330065E-2</v>
      </c>
      <c r="AD29" t="e">
        <f t="shared" si="2"/>
        <v>#N/A</v>
      </c>
      <c r="AE29" t="e">
        <f t="shared" si="2"/>
        <v>#N/A</v>
      </c>
      <c r="AG29" t="e">
        <f t="shared" si="3"/>
        <v>#N/A</v>
      </c>
      <c r="AH29">
        <f t="shared" si="3"/>
        <v>-8.9554419133330065E-2</v>
      </c>
      <c r="AI29" t="e">
        <f t="shared" si="3"/>
        <v>#N/A</v>
      </c>
    </row>
    <row r="30" spans="1:35" x14ac:dyDescent="0.25">
      <c r="A30" t="s">
        <v>14</v>
      </c>
      <c r="B30">
        <v>13.87</v>
      </c>
      <c r="C30">
        <v>1.9</v>
      </c>
      <c r="D30">
        <v>2.8</v>
      </c>
      <c r="E30">
        <v>19.399999999999999</v>
      </c>
      <c r="F30">
        <v>107</v>
      </c>
      <c r="G30">
        <v>2.95</v>
      </c>
      <c r="H30">
        <v>2.97</v>
      </c>
      <c r="I30">
        <v>0.37</v>
      </c>
      <c r="J30">
        <v>1.76</v>
      </c>
      <c r="K30">
        <v>4.5</v>
      </c>
      <c r="L30">
        <v>1.25</v>
      </c>
      <c r="M30">
        <v>3.4</v>
      </c>
      <c r="N30">
        <v>915</v>
      </c>
      <c r="P30">
        <v>2</v>
      </c>
      <c r="Q30">
        <v>2</v>
      </c>
      <c r="W30">
        <v>2.1822504675904115</v>
      </c>
      <c r="X30">
        <v>0.68762989904393557</v>
      </c>
      <c r="AC30">
        <f t="shared" si="2"/>
        <v>0.68762989904393557</v>
      </c>
      <c r="AD30" t="e">
        <f t="shared" si="2"/>
        <v>#N/A</v>
      </c>
      <c r="AE30" t="e">
        <f t="shared" si="2"/>
        <v>#N/A</v>
      </c>
      <c r="AG30" t="e">
        <f t="shared" si="3"/>
        <v>#N/A</v>
      </c>
      <c r="AH30">
        <f t="shared" si="3"/>
        <v>0.68762989904393557</v>
      </c>
      <c r="AI30" t="e">
        <f t="shared" si="3"/>
        <v>#N/A</v>
      </c>
    </row>
    <row r="31" spans="1:35" x14ac:dyDescent="0.25">
      <c r="A31" t="s">
        <v>14</v>
      </c>
      <c r="B31">
        <v>14.02</v>
      </c>
      <c r="C31">
        <v>1.68</v>
      </c>
      <c r="D31">
        <v>2.21</v>
      </c>
      <c r="E31">
        <v>16</v>
      </c>
      <c r="F31">
        <v>96</v>
      </c>
      <c r="G31">
        <v>2.65</v>
      </c>
      <c r="H31">
        <v>2.33</v>
      </c>
      <c r="I31">
        <v>0.26</v>
      </c>
      <c r="J31">
        <v>1.98</v>
      </c>
      <c r="K31">
        <v>4.7</v>
      </c>
      <c r="L31">
        <v>1.04</v>
      </c>
      <c r="M31">
        <v>3.59</v>
      </c>
      <c r="N31">
        <v>1035</v>
      </c>
      <c r="P31">
        <v>2</v>
      </c>
      <c r="Q31">
        <v>2</v>
      </c>
      <c r="W31">
        <v>2.2497626705630629</v>
      </c>
      <c r="X31">
        <v>0.19092336491899631</v>
      </c>
      <c r="AC31">
        <f t="shared" si="2"/>
        <v>0.19092336491899631</v>
      </c>
      <c r="AD31" t="e">
        <f t="shared" si="2"/>
        <v>#N/A</v>
      </c>
      <c r="AE31" t="e">
        <f t="shared" si="2"/>
        <v>#N/A</v>
      </c>
      <c r="AG31" t="e">
        <f t="shared" si="3"/>
        <v>#N/A</v>
      </c>
      <c r="AH31">
        <f t="shared" si="3"/>
        <v>0.19092336491899631</v>
      </c>
      <c r="AI31" t="e">
        <f t="shared" si="3"/>
        <v>#N/A</v>
      </c>
    </row>
    <row r="32" spans="1:35" x14ac:dyDescent="0.25">
      <c r="A32" t="s">
        <v>14</v>
      </c>
      <c r="B32">
        <v>13.73</v>
      </c>
      <c r="C32">
        <v>1.5</v>
      </c>
      <c r="D32">
        <v>2.7</v>
      </c>
      <c r="E32">
        <v>22.5</v>
      </c>
      <c r="F32">
        <v>101</v>
      </c>
      <c r="G32">
        <v>3</v>
      </c>
      <c r="H32">
        <v>3.25</v>
      </c>
      <c r="I32">
        <v>0.28999999999999998</v>
      </c>
      <c r="J32">
        <v>2.38</v>
      </c>
      <c r="K32">
        <v>5.7</v>
      </c>
      <c r="L32">
        <v>1.19</v>
      </c>
      <c r="M32">
        <v>2.71</v>
      </c>
      <c r="N32">
        <v>1285</v>
      </c>
      <c r="P32">
        <v>2</v>
      </c>
      <c r="Q32">
        <v>2</v>
      </c>
      <c r="W32">
        <v>2.4931870441432475</v>
      </c>
      <c r="X32">
        <v>1.2373434374166696</v>
      </c>
      <c r="AC32">
        <f t="shared" si="2"/>
        <v>1.2373434374166696</v>
      </c>
      <c r="AD32" t="e">
        <f t="shared" si="2"/>
        <v>#N/A</v>
      </c>
      <c r="AE32" t="e">
        <f t="shared" si="2"/>
        <v>#N/A</v>
      </c>
      <c r="AG32" t="e">
        <f t="shared" si="3"/>
        <v>#N/A</v>
      </c>
      <c r="AH32">
        <f t="shared" si="3"/>
        <v>1.2373434374166696</v>
      </c>
      <c r="AI32" t="e">
        <f t="shared" si="3"/>
        <v>#N/A</v>
      </c>
    </row>
    <row r="33" spans="1:35" x14ac:dyDescent="0.25">
      <c r="A33" t="s">
        <v>14</v>
      </c>
      <c r="B33">
        <v>13.58</v>
      </c>
      <c r="C33">
        <v>1.66</v>
      </c>
      <c r="D33">
        <v>2.36</v>
      </c>
      <c r="E33">
        <v>19.100000000000001</v>
      </c>
      <c r="F33">
        <v>106</v>
      </c>
      <c r="G33">
        <v>2.86</v>
      </c>
      <c r="H33">
        <v>3.19</v>
      </c>
      <c r="I33">
        <v>0.22</v>
      </c>
      <c r="J33">
        <v>1.95</v>
      </c>
      <c r="K33">
        <v>6.9</v>
      </c>
      <c r="L33">
        <v>1.0900000000000001</v>
      </c>
      <c r="M33">
        <v>2.88</v>
      </c>
      <c r="N33">
        <v>1515</v>
      </c>
      <c r="P33">
        <v>2</v>
      </c>
      <c r="Q33">
        <v>2</v>
      </c>
      <c r="W33">
        <v>2.66987963718001</v>
      </c>
      <c r="X33">
        <v>1.4677333463748519</v>
      </c>
      <c r="AC33">
        <f t="shared" si="2"/>
        <v>1.4677333463748519</v>
      </c>
      <c r="AD33" t="e">
        <f t="shared" si="2"/>
        <v>#N/A</v>
      </c>
      <c r="AE33" t="e">
        <f t="shared" si="2"/>
        <v>#N/A</v>
      </c>
      <c r="AG33" t="e">
        <f t="shared" si="3"/>
        <v>#N/A</v>
      </c>
      <c r="AH33">
        <f t="shared" si="3"/>
        <v>1.4677333463748519</v>
      </c>
      <c r="AI33" t="e">
        <f t="shared" si="3"/>
        <v>#N/A</v>
      </c>
    </row>
    <row r="34" spans="1:35" x14ac:dyDescent="0.25">
      <c r="A34" t="s">
        <v>14</v>
      </c>
      <c r="B34">
        <v>13.68</v>
      </c>
      <c r="C34">
        <v>1.83</v>
      </c>
      <c r="D34">
        <v>2.36</v>
      </c>
      <c r="E34">
        <v>17.2</v>
      </c>
      <c r="F34">
        <v>104</v>
      </c>
      <c r="G34">
        <v>2.42</v>
      </c>
      <c r="H34">
        <v>2.69</v>
      </c>
      <c r="I34">
        <v>0.42</v>
      </c>
      <c r="J34">
        <v>1.97</v>
      </c>
      <c r="K34">
        <v>3.84</v>
      </c>
      <c r="L34">
        <v>1.23</v>
      </c>
      <c r="M34">
        <v>2.87</v>
      </c>
      <c r="N34">
        <v>990</v>
      </c>
      <c r="P34">
        <v>2</v>
      </c>
      <c r="Q34">
        <v>2</v>
      </c>
      <c r="W34">
        <v>1.6239980127882387</v>
      </c>
      <c r="X34">
        <v>5.2556195774236814E-2</v>
      </c>
      <c r="AC34">
        <f t="shared" si="2"/>
        <v>5.2556195774236814E-2</v>
      </c>
      <c r="AD34" t="e">
        <f t="shared" si="2"/>
        <v>#N/A</v>
      </c>
      <c r="AE34" t="e">
        <f t="shared" si="2"/>
        <v>#N/A</v>
      </c>
      <c r="AG34" t="e">
        <f t="shared" si="3"/>
        <v>#N/A</v>
      </c>
      <c r="AH34">
        <f t="shared" si="3"/>
        <v>5.2556195774236814E-2</v>
      </c>
      <c r="AI34" t="e">
        <f t="shared" si="3"/>
        <v>#N/A</v>
      </c>
    </row>
    <row r="35" spans="1:35" x14ac:dyDescent="0.25">
      <c r="A35" t="s">
        <v>14</v>
      </c>
      <c r="B35">
        <v>13.76</v>
      </c>
      <c r="C35">
        <v>1.53</v>
      </c>
      <c r="D35">
        <v>2.7</v>
      </c>
      <c r="E35">
        <v>19.5</v>
      </c>
      <c r="F35">
        <v>132</v>
      </c>
      <c r="G35">
        <v>2.95</v>
      </c>
      <c r="H35">
        <v>2.74</v>
      </c>
      <c r="I35">
        <v>0.5</v>
      </c>
      <c r="J35">
        <v>1.35</v>
      </c>
      <c r="K35">
        <v>5.4</v>
      </c>
      <c r="L35">
        <v>1.25</v>
      </c>
      <c r="M35">
        <v>3</v>
      </c>
      <c r="N35">
        <v>1235</v>
      </c>
      <c r="P35">
        <v>2</v>
      </c>
      <c r="Q35">
        <v>2</v>
      </c>
      <c r="W35">
        <v>1.8973386973090807</v>
      </c>
      <c r="X35">
        <v>1.6284667253619238</v>
      </c>
      <c r="AC35">
        <f t="shared" ref="AC35:AE66" si="6">IF($A35=AC$1,$X35,NA())</f>
        <v>1.6284667253619238</v>
      </c>
      <c r="AD35" t="e">
        <f t="shared" si="6"/>
        <v>#N/A</v>
      </c>
      <c r="AE35" t="e">
        <f t="shared" si="6"/>
        <v>#N/A</v>
      </c>
      <c r="AG35" t="e">
        <f t="shared" ref="AG35:AI66" si="7">IF($P35=AG$1,$X35,NA())</f>
        <v>#N/A</v>
      </c>
      <c r="AH35">
        <f t="shared" si="7"/>
        <v>1.6284667253619238</v>
      </c>
      <c r="AI35" t="e">
        <f t="shared" si="7"/>
        <v>#N/A</v>
      </c>
    </row>
    <row r="36" spans="1:35" x14ac:dyDescent="0.25">
      <c r="A36" t="s">
        <v>14</v>
      </c>
      <c r="B36">
        <v>13.51</v>
      </c>
      <c r="C36">
        <v>1.8</v>
      </c>
      <c r="D36">
        <v>2.65</v>
      </c>
      <c r="E36">
        <v>19</v>
      </c>
      <c r="F36">
        <v>110</v>
      </c>
      <c r="G36">
        <v>2.35</v>
      </c>
      <c r="H36">
        <v>2.5299999999999998</v>
      </c>
      <c r="I36">
        <v>0.28999999999999998</v>
      </c>
      <c r="J36">
        <v>1.54</v>
      </c>
      <c r="K36">
        <v>4.2</v>
      </c>
      <c r="L36">
        <v>1.1000000000000001</v>
      </c>
      <c r="M36">
        <v>2.87</v>
      </c>
      <c r="N36">
        <v>1095</v>
      </c>
      <c r="P36">
        <v>2</v>
      </c>
      <c r="Q36">
        <v>2</v>
      </c>
      <c r="W36">
        <v>1.4064211811009948</v>
      </c>
      <c r="X36">
        <v>0.69597107371051337</v>
      </c>
      <c r="AC36">
        <f t="shared" si="6"/>
        <v>0.69597107371051337</v>
      </c>
      <c r="AD36" t="e">
        <f t="shared" si="6"/>
        <v>#N/A</v>
      </c>
      <c r="AE36" t="e">
        <f t="shared" si="6"/>
        <v>#N/A</v>
      </c>
      <c r="AG36" t="e">
        <f t="shared" si="7"/>
        <v>#N/A</v>
      </c>
      <c r="AH36">
        <f t="shared" si="7"/>
        <v>0.69597107371051337</v>
      </c>
      <c r="AI36" t="e">
        <f t="shared" si="7"/>
        <v>#N/A</v>
      </c>
    </row>
    <row r="37" spans="1:35" x14ac:dyDescent="0.25">
      <c r="A37" t="s">
        <v>14</v>
      </c>
      <c r="B37">
        <v>13.48</v>
      </c>
      <c r="C37">
        <v>1.81</v>
      </c>
      <c r="D37">
        <v>2.41</v>
      </c>
      <c r="E37">
        <v>20.5</v>
      </c>
      <c r="F37">
        <v>100</v>
      </c>
      <c r="G37">
        <v>2.7</v>
      </c>
      <c r="H37">
        <v>2.98</v>
      </c>
      <c r="I37">
        <v>0.26</v>
      </c>
      <c r="J37">
        <v>1.86</v>
      </c>
      <c r="K37">
        <v>5.0999999999999996</v>
      </c>
      <c r="L37">
        <v>1.04</v>
      </c>
      <c r="M37">
        <v>3.47</v>
      </c>
      <c r="N37">
        <v>920</v>
      </c>
      <c r="P37">
        <v>2</v>
      </c>
      <c r="Q37">
        <v>2</v>
      </c>
      <c r="W37">
        <v>1.8984708735216012</v>
      </c>
      <c r="X37">
        <v>0.17621387288924659</v>
      </c>
      <c r="AC37">
        <f t="shared" si="6"/>
        <v>0.17621387288924659</v>
      </c>
      <c r="AD37" t="e">
        <f t="shared" si="6"/>
        <v>#N/A</v>
      </c>
      <c r="AE37" t="e">
        <f t="shared" si="6"/>
        <v>#N/A</v>
      </c>
      <c r="AG37" t="e">
        <f t="shared" si="7"/>
        <v>#N/A</v>
      </c>
      <c r="AH37">
        <f t="shared" si="7"/>
        <v>0.17621387288924659</v>
      </c>
      <c r="AI37" t="e">
        <f t="shared" si="7"/>
        <v>#N/A</v>
      </c>
    </row>
    <row r="38" spans="1:35" x14ac:dyDescent="0.25">
      <c r="A38" t="s">
        <v>14</v>
      </c>
      <c r="B38">
        <v>13.28</v>
      </c>
      <c r="C38">
        <v>1.64</v>
      </c>
      <c r="D38">
        <v>2.84</v>
      </c>
      <c r="E38">
        <v>15.5</v>
      </c>
      <c r="F38">
        <v>110</v>
      </c>
      <c r="G38">
        <v>2.6</v>
      </c>
      <c r="H38">
        <v>2.68</v>
      </c>
      <c r="I38">
        <v>0.34</v>
      </c>
      <c r="J38">
        <v>1.36</v>
      </c>
      <c r="K38">
        <v>4.5999999999999996</v>
      </c>
      <c r="L38">
        <v>1.0900000000000001</v>
      </c>
      <c r="M38">
        <v>2.78</v>
      </c>
      <c r="N38">
        <v>880</v>
      </c>
      <c r="P38">
        <v>2</v>
      </c>
      <c r="Q38">
        <v>2</v>
      </c>
      <c r="W38">
        <v>1.380966688967006</v>
      </c>
      <c r="X38">
        <v>0.6567871358111137</v>
      </c>
      <c r="AC38">
        <f t="shared" si="6"/>
        <v>0.6567871358111137</v>
      </c>
      <c r="AD38" t="e">
        <f t="shared" si="6"/>
        <v>#N/A</v>
      </c>
      <c r="AE38" t="e">
        <f t="shared" si="6"/>
        <v>#N/A</v>
      </c>
      <c r="AG38" t="e">
        <f t="shared" si="7"/>
        <v>#N/A</v>
      </c>
      <c r="AH38">
        <f t="shared" si="7"/>
        <v>0.6567871358111137</v>
      </c>
      <c r="AI38" t="e">
        <f t="shared" si="7"/>
        <v>#N/A</v>
      </c>
    </row>
    <row r="39" spans="1:35" x14ac:dyDescent="0.25">
      <c r="A39" t="s">
        <v>14</v>
      </c>
      <c r="B39">
        <v>13.05</v>
      </c>
      <c r="C39">
        <v>1.65</v>
      </c>
      <c r="D39">
        <v>2.5499999999999998</v>
      </c>
      <c r="E39">
        <v>18</v>
      </c>
      <c r="F39">
        <v>98</v>
      </c>
      <c r="G39">
        <v>2.4500000000000002</v>
      </c>
      <c r="H39">
        <v>2.4300000000000002</v>
      </c>
      <c r="I39">
        <v>0.28999999999999998</v>
      </c>
      <c r="J39">
        <v>1.44</v>
      </c>
      <c r="K39">
        <v>4.25</v>
      </c>
      <c r="L39">
        <v>1.1200000000000001</v>
      </c>
      <c r="M39">
        <v>2.5099999999999998</v>
      </c>
      <c r="N39">
        <v>1105</v>
      </c>
      <c r="P39">
        <v>2</v>
      </c>
      <c r="Q39">
        <v>2</v>
      </c>
      <c r="W39">
        <v>1.1190507026227474</v>
      </c>
      <c r="X39">
        <v>0.11378877574917673</v>
      </c>
      <c r="AC39">
        <f t="shared" si="6"/>
        <v>0.11378877574917673</v>
      </c>
      <c r="AD39" t="e">
        <f t="shared" si="6"/>
        <v>#N/A</v>
      </c>
      <c r="AE39" t="e">
        <f t="shared" si="6"/>
        <v>#N/A</v>
      </c>
      <c r="AG39" t="e">
        <f t="shared" si="7"/>
        <v>#N/A</v>
      </c>
      <c r="AH39">
        <f t="shared" si="7"/>
        <v>0.11378877574917673</v>
      </c>
      <c r="AI39" t="e">
        <f t="shared" si="7"/>
        <v>#N/A</v>
      </c>
    </row>
    <row r="40" spans="1:35" x14ac:dyDescent="0.25">
      <c r="A40" t="s">
        <v>14</v>
      </c>
      <c r="B40">
        <v>13.07</v>
      </c>
      <c r="C40">
        <v>1.5</v>
      </c>
      <c r="D40">
        <v>2.1</v>
      </c>
      <c r="E40">
        <v>15.5</v>
      </c>
      <c r="F40">
        <v>98</v>
      </c>
      <c r="G40">
        <v>2.4</v>
      </c>
      <c r="H40">
        <v>2.64</v>
      </c>
      <c r="I40">
        <v>0.28000000000000003</v>
      </c>
      <c r="J40">
        <v>1.37</v>
      </c>
      <c r="K40">
        <v>3.7</v>
      </c>
      <c r="L40">
        <v>1.18</v>
      </c>
      <c r="M40">
        <v>2.69</v>
      </c>
      <c r="N40">
        <v>1020</v>
      </c>
      <c r="P40">
        <v>2</v>
      </c>
      <c r="Q40">
        <v>2</v>
      </c>
      <c r="W40">
        <v>1.4979689099774827</v>
      </c>
      <c r="X40">
        <v>-0.76726763647011431</v>
      </c>
      <c r="AC40">
        <f t="shared" si="6"/>
        <v>-0.76726763647011431</v>
      </c>
      <c r="AD40" t="e">
        <f t="shared" si="6"/>
        <v>#N/A</v>
      </c>
      <c r="AE40" t="e">
        <f t="shared" si="6"/>
        <v>#N/A</v>
      </c>
      <c r="AG40" t="e">
        <f t="shared" si="7"/>
        <v>#N/A</v>
      </c>
      <c r="AH40">
        <f t="shared" si="7"/>
        <v>-0.76726763647011431</v>
      </c>
      <c r="AI40" t="e">
        <f t="shared" si="7"/>
        <v>#N/A</v>
      </c>
    </row>
    <row r="41" spans="1:35" x14ac:dyDescent="0.25">
      <c r="A41" t="s">
        <v>14</v>
      </c>
      <c r="B41">
        <v>14.22</v>
      </c>
      <c r="C41">
        <v>3.99</v>
      </c>
      <c r="D41">
        <v>2.5099999999999998</v>
      </c>
      <c r="E41">
        <v>13.2</v>
      </c>
      <c r="F41">
        <v>128</v>
      </c>
      <c r="G41">
        <v>3</v>
      </c>
      <c r="H41">
        <v>3.04</v>
      </c>
      <c r="I41">
        <v>0.2</v>
      </c>
      <c r="J41">
        <v>2.08</v>
      </c>
      <c r="K41">
        <v>5.0999999999999996</v>
      </c>
      <c r="L41">
        <v>0.89</v>
      </c>
      <c r="M41">
        <v>3.53</v>
      </c>
      <c r="N41">
        <v>760</v>
      </c>
      <c r="P41">
        <v>2</v>
      </c>
      <c r="Q41">
        <v>2</v>
      </c>
      <c r="W41">
        <v>2.5226849008007686</v>
      </c>
      <c r="X41">
        <v>1.7979302306699081</v>
      </c>
      <c r="AC41">
        <f t="shared" si="6"/>
        <v>1.7979302306699081</v>
      </c>
      <c r="AD41" t="e">
        <f t="shared" si="6"/>
        <v>#N/A</v>
      </c>
      <c r="AE41" t="e">
        <f t="shared" si="6"/>
        <v>#N/A</v>
      </c>
      <c r="AG41" t="e">
        <f t="shared" si="7"/>
        <v>#N/A</v>
      </c>
      <c r="AH41">
        <f t="shared" si="7"/>
        <v>1.7979302306699081</v>
      </c>
      <c r="AI41" t="e">
        <f t="shared" si="7"/>
        <v>#N/A</v>
      </c>
    </row>
    <row r="42" spans="1:35" x14ac:dyDescent="0.25">
      <c r="A42" t="s">
        <v>14</v>
      </c>
      <c r="B42">
        <v>13.56</v>
      </c>
      <c r="C42">
        <v>1.71</v>
      </c>
      <c r="D42">
        <v>2.31</v>
      </c>
      <c r="E42">
        <v>16.2</v>
      </c>
      <c r="F42">
        <v>117</v>
      </c>
      <c r="G42">
        <v>3.15</v>
      </c>
      <c r="H42">
        <v>3.29</v>
      </c>
      <c r="I42">
        <v>0.34</v>
      </c>
      <c r="J42">
        <v>2.34</v>
      </c>
      <c r="K42">
        <v>6.13</v>
      </c>
      <c r="L42">
        <v>0.95</v>
      </c>
      <c r="M42">
        <v>3.38</v>
      </c>
      <c r="N42">
        <v>795</v>
      </c>
      <c r="P42">
        <v>2</v>
      </c>
      <c r="Q42">
        <v>2</v>
      </c>
      <c r="W42">
        <v>2.5808152555128752</v>
      </c>
      <c r="X42">
        <v>0.77742328635349101</v>
      </c>
      <c r="AC42">
        <f t="shared" si="6"/>
        <v>0.77742328635349101</v>
      </c>
      <c r="AD42" t="e">
        <f t="shared" si="6"/>
        <v>#N/A</v>
      </c>
      <c r="AE42" t="e">
        <f t="shared" si="6"/>
        <v>#N/A</v>
      </c>
      <c r="AG42" t="e">
        <f t="shared" si="7"/>
        <v>#N/A</v>
      </c>
      <c r="AH42">
        <f t="shared" si="7"/>
        <v>0.77742328635349101</v>
      </c>
      <c r="AI42" t="e">
        <f t="shared" si="7"/>
        <v>#N/A</v>
      </c>
    </row>
    <row r="43" spans="1:35" x14ac:dyDescent="0.25">
      <c r="A43" t="s">
        <v>14</v>
      </c>
      <c r="B43">
        <v>13.41</v>
      </c>
      <c r="C43">
        <v>3.84</v>
      </c>
      <c r="D43">
        <v>2.12</v>
      </c>
      <c r="E43">
        <v>18.8</v>
      </c>
      <c r="F43">
        <v>90</v>
      </c>
      <c r="G43">
        <v>2.4500000000000002</v>
      </c>
      <c r="H43">
        <v>2.68</v>
      </c>
      <c r="I43">
        <v>0.27</v>
      </c>
      <c r="J43">
        <v>1.48</v>
      </c>
      <c r="K43">
        <v>4.28</v>
      </c>
      <c r="L43">
        <v>0.91</v>
      </c>
      <c r="M43">
        <v>3</v>
      </c>
      <c r="N43">
        <v>1035</v>
      </c>
      <c r="P43">
        <v>2</v>
      </c>
      <c r="Q43">
        <v>2</v>
      </c>
      <c r="W43">
        <v>0.66660159061138136</v>
      </c>
      <c r="X43">
        <v>0.16948284978429512</v>
      </c>
      <c r="AC43">
        <f t="shared" si="6"/>
        <v>0.16948284978429512</v>
      </c>
      <c r="AD43" t="e">
        <f t="shared" si="6"/>
        <v>#N/A</v>
      </c>
      <c r="AE43" t="e">
        <f t="shared" si="6"/>
        <v>#N/A</v>
      </c>
      <c r="AG43" t="e">
        <f t="shared" si="7"/>
        <v>#N/A</v>
      </c>
      <c r="AH43">
        <f t="shared" si="7"/>
        <v>0.16948284978429512</v>
      </c>
      <c r="AI43" t="e">
        <f t="shared" si="7"/>
        <v>#N/A</v>
      </c>
    </row>
    <row r="44" spans="1:35" x14ac:dyDescent="0.25">
      <c r="A44" t="s">
        <v>14</v>
      </c>
      <c r="B44">
        <v>13.88</v>
      </c>
      <c r="C44">
        <v>1.89</v>
      </c>
      <c r="D44">
        <v>2.59</v>
      </c>
      <c r="E44">
        <v>15</v>
      </c>
      <c r="F44">
        <v>101</v>
      </c>
      <c r="G44">
        <v>3.25</v>
      </c>
      <c r="H44">
        <v>3.56</v>
      </c>
      <c r="I44">
        <v>0.17</v>
      </c>
      <c r="J44">
        <v>1.7</v>
      </c>
      <c r="K44">
        <v>5.43</v>
      </c>
      <c r="L44">
        <v>0.88</v>
      </c>
      <c r="M44">
        <v>3.56</v>
      </c>
      <c r="N44">
        <v>1095</v>
      </c>
      <c r="P44">
        <v>2</v>
      </c>
      <c r="Q44">
        <v>2</v>
      </c>
      <c r="W44">
        <v>3.0621689789465893</v>
      </c>
      <c r="X44">
        <v>1.152667419931098</v>
      </c>
      <c r="AC44">
        <f t="shared" si="6"/>
        <v>1.152667419931098</v>
      </c>
      <c r="AD44" t="e">
        <f t="shared" si="6"/>
        <v>#N/A</v>
      </c>
      <c r="AE44" t="e">
        <f t="shared" si="6"/>
        <v>#N/A</v>
      </c>
      <c r="AG44" t="e">
        <f t="shared" si="7"/>
        <v>#N/A</v>
      </c>
      <c r="AH44">
        <f t="shared" si="7"/>
        <v>1.152667419931098</v>
      </c>
      <c r="AI44" t="e">
        <f t="shared" si="7"/>
        <v>#N/A</v>
      </c>
    </row>
    <row r="45" spans="1:35" x14ac:dyDescent="0.25">
      <c r="A45" t="s">
        <v>14</v>
      </c>
      <c r="B45">
        <v>13.24</v>
      </c>
      <c r="C45">
        <v>3.98</v>
      </c>
      <c r="D45">
        <v>2.29</v>
      </c>
      <c r="E45">
        <v>17.5</v>
      </c>
      <c r="F45">
        <v>103</v>
      </c>
      <c r="G45">
        <v>2.64</v>
      </c>
      <c r="H45">
        <v>2.63</v>
      </c>
      <c r="I45">
        <v>0.32</v>
      </c>
      <c r="J45">
        <v>1.66</v>
      </c>
      <c r="K45">
        <v>4.3600000000000003</v>
      </c>
      <c r="L45">
        <v>0.82</v>
      </c>
      <c r="M45">
        <v>3</v>
      </c>
      <c r="N45">
        <v>680</v>
      </c>
      <c r="P45">
        <v>2</v>
      </c>
      <c r="Q45">
        <v>2</v>
      </c>
      <c r="W45">
        <v>0.46090896859421476</v>
      </c>
      <c r="X45">
        <v>0.32981177274281814</v>
      </c>
      <c r="AC45">
        <f t="shared" si="6"/>
        <v>0.32981177274281814</v>
      </c>
      <c r="AD45" t="e">
        <f t="shared" si="6"/>
        <v>#N/A</v>
      </c>
      <c r="AE45" t="e">
        <f t="shared" si="6"/>
        <v>#N/A</v>
      </c>
      <c r="AG45" t="e">
        <f t="shared" si="7"/>
        <v>#N/A</v>
      </c>
      <c r="AH45">
        <f t="shared" si="7"/>
        <v>0.32981177274281814</v>
      </c>
      <c r="AI45" t="e">
        <f t="shared" si="7"/>
        <v>#N/A</v>
      </c>
    </row>
    <row r="46" spans="1:35" x14ac:dyDescent="0.25">
      <c r="A46" t="s">
        <v>14</v>
      </c>
      <c r="B46">
        <v>13.05</v>
      </c>
      <c r="C46">
        <v>1.77</v>
      </c>
      <c r="D46">
        <v>2.1</v>
      </c>
      <c r="E46">
        <v>17</v>
      </c>
      <c r="F46">
        <v>107</v>
      </c>
      <c r="G46">
        <v>3</v>
      </c>
      <c r="H46">
        <v>3</v>
      </c>
      <c r="I46">
        <v>0.28000000000000003</v>
      </c>
      <c r="J46">
        <v>2.0299999999999998</v>
      </c>
      <c r="K46">
        <v>5.04</v>
      </c>
      <c r="L46">
        <v>0.88</v>
      </c>
      <c r="M46">
        <v>3.35</v>
      </c>
      <c r="N46">
        <v>885</v>
      </c>
      <c r="P46">
        <v>2</v>
      </c>
      <c r="Q46">
        <v>2</v>
      </c>
      <c r="W46">
        <v>2.095440942919693</v>
      </c>
      <c r="X46">
        <v>-7.0809176721405298E-2</v>
      </c>
      <c r="AC46">
        <f t="shared" si="6"/>
        <v>-7.0809176721405298E-2</v>
      </c>
      <c r="AD46" t="e">
        <f t="shared" si="6"/>
        <v>#N/A</v>
      </c>
      <c r="AE46" t="e">
        <f t="shared" si="6"/>
        <v>#N/A</v>
      </c>
      <c r="AG46" t="e">
        <f t="shared" si="7"/>
        <v>#N/A</v>
      </c>
      <c r="AH46">
        <f t="shared" si="7"/>
        <v>-7.0809176721405298E-2</v>
      </c>
      <c r="AI46" t="e">
        <f t="shared" si="7"/>
        <v>#N/A</v>
      </c>
    </row>
    <row r="47" spans="1:35" x14ac:dyDescent="0.25">
      <c r="A47" t="s">
        <v>14</v>
      </c>
      <c r="B47">
        <v>14.21</v>
      </c>
      <c r="C47">
        <v>4.04</v>
      </c>
      <c r="D47">
        <v>2.44</v>
      </c>
      <c r="E47">
        <v>18.899999999999999</v>
      </c>
      <c r="F47">
        <v>111</v>
      </c>
      <c r="G47">
        <v>2.85</v>
      </c>
      <c r="H47">
        <v>2.65</v>
      </c>
      <c r="I47">
        <v>0.3</v>
      </c>
      <c r="J47">
        <v>1.25</v>
      </c>
      <c r="K47">
        <v>5.24</v>
      </c>
      <c r="L47">
        <v>0.87</v>
      </c>
      <c r="M47">
        <v>3.33</v>
      </c>
      <c r="N47">
        <v>1080</v>
      </c>
      <c r="P47">
        <v>2</v>
      </c>
      <c r="Q47">
        <v>2</v>
      </c>
      <c r="W47">
        <v>1.132970204479451</v>
      </c>
      <c r="X47">
        <v>1.7721084874253699</v>
      </c>
      <c r="AC47">
        <f t="shared" si="6"/>
        <v>1.7721084874253699</v>
      </c>
      <c r="AD47" t="e">
        <f t="shared" si="6"/>
        <v>#N/A</v>
      </c>
      <c r="AE47" t="e">
        <f t="shared" si="6"/>
        <v>#N/A</v>
      </c>
      <c r="AG47" t="e">
        <f t="shared" si="7"/>
        <v>#N/A</v>
      </c>
      <c r="AH47">
        <f t="shared" si="7"/>
        <v>1.7721084874253699</v>
      </c>
      <c r="AI47" t="e">
        <f t="shared" si="7"/>
        <v>#N/A</v>
      </c>
    </row>
    <row r="48" spans="1:35" x14ac:dyDescent="0.25">
      <c r="A48" t="s">
        <v>14</v>
      </c>
      <c r="B48">
        <v>14.38</v>
      </c>
      <c r="C48">
        <v>3.59</v>
      </c>
      <c r="D48">
        <v>2.2799999999999998</v>
      </c>
      <c r="E48">
        <v>16</v>
      </c>
      <c r="F48">
        <v>102</v>
      </c>
      <c r="G48">
        <v>3.25</v>
      </c>
      <c r="H48">
        <v>3.17</v>
      </c>
      <c r="I48">
        <v>0.27</v>
      </c>
      <c r="J48">
        <v>2.19</v>
      </c>
      <c r="K48">
        <v>4.9000000000000004</v>
      </c>
      <c r="L48">
        <v>1.04</v>
      </c>
      <c r="M48">
        <v>3.44</v>
      </c>
      <c r="N48">
        <v>1065</v>
      </c>
      <c r="P48">
        <v>2</v>
      </c>
      <c r="Q48">
        <v>2</v>
      </c>
      <c r="W48">
        <v>2.718931184840268</v>
      </c>
      <c r="X48">
        <v>1.1879835328107067</v>
      </c>
      <c r="AC48">
        <f t="shared" si="6"/>
        <v>1.1879835328107067</v>
      </c>
      <c r="AD48" t="e">
        <f t="shared" si="6"/>
        <v>#N/A</v>
      </c>
      <c r="AE48" t="e">
        <f t="shared" si="6"/>
        <v>#N/A</v>
      </c>
      <c r="AG48" t="e">
        <f t="shared" si="7"/>
        <v>#N/A</v>
      </c>
      <c r="AH48">
        <f t="shared" si="7"/>
        <v>1.1879835328107067</v>
      </c>
      <c r="AI48" t="e">
        <f t="shared" si="7"/>
        <v>#N/A</v>
      </c>
    </row>
    <row r="49" spans="1:35" x14ac:dyDescent="0.25">
      <c r="A49" t="s">
        <v>14</v>
      </c>
      <c r="B49">
        <v>13.9</v>
      </c>
      <c r="C49">
        <v>1.68</v>
      </c>
      <c r="D49">
        <v>2.12</v>
      </c>
      <c r="E49">
        <v>16</v>
      </c>
      <c r="F49">
        <v>101</v>
      </c>
      <c r="G49">
        <v>3.1</v>
      </c>
      <c r="H49">
        <v>3.39</v>
      </c>
      <c r="I49">
        <v>0.21</v>
      </c>
      <c r="J49">
        <v>2.14</v>
      </c>
      <c r="K49">
        <v>6.1</v>
      </c>
      <c r="L49">
        <v>0.91</v>
      </c>
      <c r="M49">
        <v>3.33</v>
      </c>
      <c r="N49">
        <v>985</v>
      </c>
      <c r="P49">
        <v>2</v>
      </c>
      <c r="Q49">
        <v>2</v>
      </c>
      <c r="W49">
        <v>2.8134030017131009</v>
      </c>
      <c r="X49">
        <v>0.64444070917329355</v>
      </c>
      <c r="AC49">
        <f t="shared" si="6"/>
        <v>0.64444070917329355</v>
      </c>
      <c r="AD49" t="e">
        <f t="shared" si="6"/>
        <v>#N/A</v>
      </c>
      <c r="AE49" t="e">
        <f t="shared" si="6"/>
        <v>#N/A</v>
      </c>
      <c r="AG49" t="e">
        <f t="shared" si="7"/>
        <v>#N/A</v>
      </c>
      <c r="AH49">
        <f t="shared" si="7"/>
        <v>0.64444070917329355</v>
      </c>
      <c r="AI49" t="e">
        <f t="shared" si="7"/>
        <v>#N/A</v>
      </c>
    </row>
    <row r="50" spans="1:35" x14ac:dyDescent="0.25">
      <c r="A50" t="s">
        <v>14</v>
      </c>
      <c r="B50">
        <v>14.1</v>
      </c>
      <c r="C50">
        <v>2.02</v>
      </c>
      <c r="D50">
        <v>2.4</v>
      </c>
      <c r="E50">
        <v>18.8</v>
      </c>
      <c r="F50">
        <v>103</v>
      </c>
      <c r="G50">
        <v>2.75</v>
      </c>
      <c r="H50">
        <v>2.92</v>
      </c>
      <c r="I50">
        <v>0.32</v>
      </c>
      <c r="J50">
        <v>2.38</v>
      </c>
      <c r="K50">
        <v>6.2</v>
      </c>
      <c r="L50">
        <v>1.07</v>
      </c>
      <c r="M50">
        <v>2.75</v>
      </c>
      <c r="N50">
        <v>1060</v>
      </c>
      <c r="P50">
        <v>2</v>
      </c>
      <c r="Q50">
        <v>2</v>
      </c>
      <c r="W50">
        <v>2.004197250820944</v>
      </c>
      <c r="X50">
        <v>1.2435216352657281</v>
      </c>
      <c r="AC50">
        <f t="shared" si="6"/>
        <v>1.2435216352657281</v>
      </c>
      <c r="AD50" t="e">
        <f t="shared" si="6"/>
        <v>#N/A</v>
      </c>
      <c r="AE50" t="e">
        <f t="shared" si="6"/>
        <v>#N/A</v>
      </c>
      <c r="AG50" t="e">
        <f t="shared" si="7"/>
        <v>#N/A</v>
      </c>
      <c r="AH50">
        <f t="shared" si="7"/>
        <v>1.2435216352657281</v>
      </c>
      <c r="AI50" t="e">
        <f t="shared" si="7"/>
        <v>#N/A</v>
      </c>
    </row>
    <row r="51" spans="1:35" x14ac:dyDescent="0.25">
      <c r="A51" t="s">
        <v>14</v>
      </c>
      <c r="B51">
        <v>13.94</v>
      </c>
      <c r="C51">
        <v>1.73</v>
      </c>
      <c r="D51">
        <v>2.27</v>
      </c>
      <c r="E51">
        <v>17.399999999999999</v>
      </c>
      <c r="F51">
        <v>108</v>
      </c>
      <c r="G51">
        <v>2.88</v>
      </c>
      <c r="H51">
        <v>3.54</v>
      </c>
      <c r="I51">
        <v>0.32</v>
      </c>
      <c r="J51">
        <v>2.08</v>
      </c>
      <c r="K51">
        <v>8.9</v>
      </c>
      <c r="L51">
        <v>1.1200000000000001</v>
      </c>
      <c r="M51">
        <v>3.1</v>
      </c>
      <c r="N51">
        <v>1260</v>
      </c>
      <c r="P51">
        <v>2</v>
      </c>
      <c r="Q51">
        <v>2</v>
      </c>
      <c r="W51">
        <v>2.6998752798952506</v>
      </c>
      <c r="X51">
        <v>1.7470392190151816</v>
      </c>
      <c r="AC51">
        <f t="shared" si="6"/>
        <v>1.7470392190151816</v>
      </c>
      <c r="AD51" t="e">
        <f t="shared" si="6"/>
        <v>#N/A</v>
      </c>
      <c r="AE51" t="e">
        <f t="shared" si="6"/>
        <v>#N/A</v>
      </c>
      <c r="AG51" t="e">
        <f t="shared" si="7"/>
        <v>#N/A</v>
      </c>
      <c r="AH51">
        <f t="shared" si="7"/>
        <v>1.7470392190151816</v>
      </c>
      <c r="AI51" t="e">
        <f t="shared" si="7"/>
        <v>#N/A</v>
      </c>
    </row>
    <row r="52" spans="1:35" x14ac:dyDescent="0.25">
      <c r="A52" t="s">
        <v>14</v>
      </c>
      <c r="B52">
        <v>13.05</v>
      </c>
      <c r="C52">
        <v>1.73</v>
      </c>
      <c r="D52">
        <v>2.04</v>
      </c>
      <c r="E52">
        <v>12.4</v>
      </c>
      <c r="F52">
        <v>92</v>
      </c>
      <c r="G52">
        <v>2.72</v>
      </c>
      <c r="H52">
        <v>3.27</v>
      </c>
      <c r="I52">
        <v>0.17</v>
      </c>
      <c r="J52">
        <v>2.91</v>
      </c>
      <c r="K52">
        <v>7.2</v>
      </c>
      <c r="L52">
        <v>1.1200000000000001</v>
      </c>
      <c r="M52">
        <v>2.91</v>
      </c>
      <c r="N52">
        <v>1150</v>
      </c>
      <c r="P52">
        <v>2</v>
      </c>
      <c r="Q52">
        <v>2</v>
      </c>
      <c r="W52">
        <v>3.2058740884559072</v>
      </c>
      <c r="X52">
        <v>0.16652225572031409</v>
      </c>
      <c r="AC52">
        <f t="shared" si="6"/>
        <v>0.16652225572031409</v>
      </c>
      <c r="AD52" t="e">
        <f t="shared" si="6"/>
        <v>#N/A</v>
      </c>
      <c r="AE52" t="e">
        <f t="shared" si="6"/>
        <v>#N/A</v>
      </c>
      <c r="AG52" t="e">
        <f t="shared" si="7"/>
        <v>#N/A</v>
      </c>
      <c r="AH52">
        <f t="shared" si="7"/>
        <v>0.16652225572031409</v>
      </c>
      <c r="AI52" t="e">
        <f t="shared" si="7"/>
        <v>#N/A</v>
      </c>
    </row>
    <row r="53" spans="1:35" x14ac:dyDescent="0.25">
      <c r="A53" t="s">
        <v>14</v>
      </c>
      <c r="B53">
        <v>13.83</v>
      </c>
      <c r="C53">
        <v>1.65</v>
      </c>
      <c r="D53">
        <v>2.6</v>
      </c>
      <c r="E53">
        <v>17.2</v>
      </c>
      <c r="F53">
        <v>94</v>
      </c>
      <c r="G53">
        <v>2.4500000000000002</v>
      </c>
      <c r="H53">
        <v>2.99</v>
      </c>
      <c r="I53">
        <v>0.22</v>
      </c>
      <c r="J53">
        <v>2.29</v>
      </c>
      <c r="K53">
        <v>5.6</v>
      </c>
      <c r="L53">
        <v>1.24</v>
      </c>
      <c r="M53">
        <v>3.37</v>
      </c>
      <c r="N53">
        <v>1265</v>
      </c>
      <c r="P53">
        <v>2</v>
      </c>
      <c r="Q53">
        <v>2</v>
      </c>
      <c r="W53">
        <v>2.8509177296922417</v>
      </c>
      <c r="X53">
        <v>0.74318237557881306</v>
      </c>
      <c r="AC53">
        <f t="shared" si="6"/>
        <v>0.74318237557881306</v>
      </c>
      <c r="AD53" t="e">
        <f t="shared" si="6"/>
        <v>#N/A</v>
      </c>
      <c r="AE53" t="e">
        <f t="shared" si="6"/>
        <v>#N/A</v>
      </c>
      <c r="AG53" t="e">
        <f t="shared" si="7"/>
        <v>#N/A</v>
      </c>
      <c r="AH53">
        <f t="shared" si="7"/>
        <v>0.74318237557881306</v>
      </c>
      <c r="AI53" t="e">
        <f t="shared" si="7"/>
        <v>#N/A</v>
      </c>
    </row>
    <row r="54" spans="1:35" x14ac:dyDescent="0.25">
      <c r="A54" t="s">
        <v>14</v>
      </c>
      <c r="B54">
        <v>13.82</v>
      </c>
      <c r="C54">
        <v>1.75</v>
      </c>
      <c r="D54">
        <v>2.42</v>
      </c>
      <c r="E54">
        <v>14</v>
      </c>
      <c r="F54">
        <v>111</v>
      </c>
      <c r="G54">
        <v>3.88</v>
      </c>
      <c r="H54">
        <v>3.74</v>
      </c>
      <c r="I54">
        <v>0.32</v>
      </c>
      <c r="J54">
        <v>1.87</v>
      </c>
      <c r="K54">
        <v>7.05</v>
      </c>
      <c r="L54">
        <v>1.01</v>
      </c>
      <c r="M54">
        <v>3.26</v>
      </c>
      <c r="N54">
        <v>1190</v>
      </c>
      <c r="P54">
        <v>2</v>
      </c>
      <c r="Q54">
        <v>2</v>
      </c>
      <c r="W54">
        <v>3.4957432833664184</v>
      </c>
      <c r="X54">
        <v>1.6081973240392529</v>
      </c>
      <c r="AC54">
        <f t="shared" si="6"/>
        <v>1.6081973240392529</v>
      </c>
      <c r="AD54" t="e">
        <f t="shared" si="6"/>
        <v>#N/A</v>
      </c>
      <c r="AE54" t="e">
        <f t="shared" si="6"/>
        <v>#N/A</v>
      </c>
      <c r="AG54" t="e">
        <f t="shared" si="7"/>
        <v>#N/A</v>
      </c>
      <c r="AH54">
        <f t="shared" si="7"/>
        <v>1.6081973240392529</v>
      </c>
      <c r="AI54" t="e">
        <f t="shared" si="7"/>
        <v>#N/A</v>
      </c>
    </row>
    <row r="55" spans="1:35" x14ac:dyDescent="0.25">
      <c r="A55" t="s">
        <v>14</v>
      </c>
      <c r="B55">
        <v>13.77</v>
      </c>
      <c r="C55">
        <v>1.9</v>
      </c>
      <c r="D55">
        <v>2.68</v>
      </c>
      <c r="E55">
        <v>17.100000000000001</v>
      </c>
      <c r="F55">
        <v>115</v>
      </c>
      <c r="G55">
        <v>3</v>
      </c>
      <c r="H55">
        <v>2.79</v>
      </c>
      <c r="I55">
        <v>0.39</v>
      </c>
      <c r="J55">
        <v>1.68</v>
      </c>
      <c r="K55">
        <v>6.3</v>
      </c>
      <c r="L55">
        <v>1.1299999999999999</v>
      </c>
      <c r="M55">
        <v>2.93</v>
      </c>
      <c r="N55">
        <v>1375</v>
      </c>
      <c r="P55">
        <v>2</v>
      </c>
      <c r="Q55">
        <v>2</v>
      </c>
      <c r="W55">
        <v>2.2185331645366722</v>
      </c>
      <c r="X55">
        <v>1.8698932548085421</v>
      </c>
      <c r="AC55">
        <f t="shared" si="6"/>
        <v>1.8698932548085421</v>
      </c>
      <c r="AD55" t="e">
        <f t="shared" si="6"/>
        <v>#N/A</v>
      </c>
      <c r="AE55" t="e">
        <f t="shared" si="6"/>
        <v>#N/A</v>
      </c>
      <c r="AG55" t="e">
        <f t="shared" si="7"/>
        <v>#N/A</v>
      </c>
      <c r="AH55">
        <f t="shared" si="7"/>
        <v>1.8698932548085421</v>
      </c>
      <c r="AI55" t="e">
        <f t="shared" si="7"/>
        <v>#N/A</v>
      </c>
    </row>
    <row r="56" spans="1:35" x14ac:dyDescent="0.25">
      <c r="A56" t="s">
        <v>14</v>
      </c>
      <c r="B56">
        <v>13.74</v>
      </c>
      <c r="C56">
        <v>1.67</v>
      </c>
      <c r="D56">
        <v>2.25</v>
      </c>
      <c r="E56">
        <v>16.399999999999999</v>
      </c>
      <c r="F56">
        <v>118</v>
      </c>
      <c r="G56">
        <v>2.6</v>
      </c>
      <c r="H56">
        <v>2.9</v>
      </c>
      <c r="I56">
        <v>0.21</v>
      </c>
      <c r="J56">
        <v>1.62</v>
      </c>
      <c r="K56">
        <v>5.85</v>
      </c>
      <c r="L56">
        <v>0.92</v>
      </c>
      <c r="M56">
        <v>3.2</v>
      </c>
      <c r="N56">
        <v>1060</v>
      </c>
      <c r="P56">
        <v>2</v>
      </c>
      <c r="Q56">
        <v>2</v>
      </c>
      <c r="W56">
        <v>2.1409484646824342</v>
      </c>
      <c r="X56">
        <v>1.013891471639957</v>
      </c>
      <c r="AC56">
        <f t="shared" si="6"/>
        <v>1.013891471639957</v>
      </c>
      <c r="AD56" t="e">
        <f t="shared" si="6"/>
        <v>#N/A</v>
      </c>
      <c r="AE56" t="e">
        <f t="shared" si="6"/>
        <v>#N/A</v>
      </c>
      <c r="AG56" t="e">
        <f t="shared" si="7"/>
        <v>#N/A</v>
      </c>
      <c r="AH56">
        <f t="shared" si="7"/>
        <v>1.013891471639957</v>
      </c>
      <c r="AI56" t="e">
        <f t="shared" si="7"/>
        <v>#N/A</v>
      </c>
    </row>
    <row r="57" spans="1:35" x14ac:dyDescent="0.25">
      <c r="A57" t="s">
        <v>14</v>
      </c>
      <c r="B57">
        <v>13.56</v>
      </c>
      <c r="C57">
        <v>1.73</v>
      </c>
      <c r="D57">
        <v>2.46</v>
      </c>
      <c r="E57">
        <v>20.5</v>
      </c>
      <c r="F57">
        <v>116</v>
      </c>
      <c r="G57">
        <v>2.96</v>
      </c>
      <c r="H57">
        <v>2.78</v>
      </c>
      <c r="I57">
        <v>0.2</v>
      </c>
      <c r="J57">
        <v>2.4500000000000002</v>
      </c>
      <c r="K57">
        <v>6.25</v>
      </c>
      <c r="L57">
        <v>0.98</v>
      </c>
      <c r="M57">
        <v>3.03</v>
      </c>
      <c r="N57">
        <v>1120</v>
      </c>
      <c r="P57">
        <v>2</v>
      </c>
      <c r="Q57">
        <v>2</v>
      </c>
      <c r="W57">
        <v>2.4623833955339087</v>
      </c>
      <c r="X57">
        <v>1.3252698834403365</v>
      </c>
      <c r="AC57">
        <f t="shared" si="6"/>
        <v>1.3252698834403365</v>
      </c>
      <c r="AD57" t="e">
        <f t="shared" si="6"/>
        <v>#N/A</v>
      </c>
      <c r="AE57" t="e">
        <f t="shared" si="6"/>
        <v>#N/A</v>
      </c>
      <c r="AG57" t="e">
        <f t="shared" si="7"/>
        <v>#N/A</v>
      </c>
      <c r="AH57">
        <f t="shared" si="7"/>
        <v>1.3252698834403365</v>
      </c>
      <c r="AI57" t="e">
        <f t="shared" si="7"/>
        <v>#N/A</v>
      </c>
    </row>
    <row r="58" spans="1:35" x14ac:dyDescent="0.25">
      <c r="A58" t="s">
        <v>14</v>
      </c>
      <c r="B58">
        <v>14.22</v>
      </c>
      <c r="C58">
        <v>1.7</v>
      </c>
      <c r="D58">
        <v>2.2999999999999998</v>
      </c>
      <c r="E58">
        <v>16.3</v>
      </c>
      <c r="F58">
        <v>118</v>
      </c>
      <c r="G58">
        <v>3.2</v>
      </c>
      <c r="H58">
        <v>3</v>
      </c>
      <c r="I58">
        <v>0.26</v>
      </c>
      <c r="J58">
        <v>2.0299999999999998</v>
      </c>
      <c r="K58">
        <v>6.38</v>
      </c>
      <c r="L58">
        <v>0.94</v>
      </c>
      <c r="M58">
        <v>3.31</v>
      </c>
      <c r="N58">
        <v>970</v>
      </c>
      <c r="P58">
        <v>2</v>
      </c>
      <c r="Q58">
        <v>2</v>
      </c>
      <c r="W58">
        <v>2.7338061748981599</v>
      </c>
      <c r="X58">
        <v>1.432507850709543</v>
      </c>
      <c r="AC58">
        <f t="shared" si="6"/>
        <v>1.432507850709543</v>
      </c>
      <c r="AD58" t="e">
        <f t="shared" si="6"/>
        <v>#N/A</v>
      </c>
      <c r="AE58" t="e">
        <f t="shared" si="6"/>
        <v>#N/A</v>
      </c>
      <c r="AG58" t="e">
        <f t="shared" si="7"/>
        <v>#N/A</v>
      </c>
      <c r="AH58">
        <f t="shared" si="7"/>
        <v>1.432507850709543</v>
      </c>
      <c r="AI58" t="e">
        <f t="shared" si="7"/>
        <v>#N/A</v>
      </c>
    </row>
    <row r="59" spans="1:35" x14ac:dyDescent="0.25">
      <c r="A59" t="s">
        <v>14</v>
      </c>
      <c r="B59">
        <v>13.29</v>
      </c>
      <c r="C59">
        <v>1.97</v>
      </c>
      <c r="D59">
        <v>2.68</v>
      </c>
      <c r="E59">
        <v>16.8</v>
      </c>
      <c r="F59">
        <v>102</v>
      </c>
      <c r="G59">
        <v>3</v>
      </c>
      <c r="H59">
        <v>3.23</v>
      </c>
      <c r="I59">
        <v>0.31</v>
      </c>
      <c r="J59">
        <v>1.66</v>
      </c>
      <c r="K59">
        <v>6</v>
      </c>
      <c r="L59">
        <v>1.07</v>
      </c>
      <c r="M59">
        <v>2.84</v>
      </c>
      <c r="N59">
        <v>1270</v>
      </c>
      <c r="P59">
        <v>2</v>
      </c>
      <c r="Q59">
        <v>2</v>
      </c>
      <c r="W59">
        <v>2.1676263071233914</v>
      </c>
      <c r="X59">
        <v>1.2087899889376899</v>
      </c>
      <c r="AC59">
        <f t="shared" si="6"/>
        <v>1.2087899889376899</v>
      </c>
      <c r="AD59" t="e">
        <f t="shared" si="6"/>
        <v>#N/A</v>
      </c>
      <c r="AE59" t="e">
        <f t="shared" si="6"/>
        <v>#N/A</v>
      </c>
      <c r="AG59" t="e">
        <f t="shared" si="7"/>
        <v>#N/A</v>
      </c>
      <c r="AH59">
        <f t="shared" si="7"/>
        <v>1.2087899889376899</v>
      </c>
      <c r="AI59" t="e">
        <f t="shared" si="7"/>
        <v>#N/A</v>
      </c>
    </row>
    <row r="60" spans="1:35" x14ac:dyDescent="0.25">
      <c r="A60" t="s">
        <v>14</v>
      </c>
      <c r="B60">
        <v>13.72</v>
      </c>
      <c r="C60">
        <v>1.43</v>
      </c>
      <c r="D60">
        <v>2.5</v>
      </c>
      <c r="E60">
        <v>16.7</v>
      </c>
      <c r="F60">
        <v>108</v>
      </c>
      <c r="G60">
        <v>3.4</v>
      </c>
      <c r="H60">
        <v>3.67</v>
      </c>
      <c r="I60">
        <v>0.19</v>
      </c>
      <c r="J60">
        <v>2.04</v>
      </c>
      <c r="K60">
        <v>6.8</v>
      </c>
      <c r="L60">
        <v>0.89</v>
      </c>
      <c r="M60">
        <v>2.87</v>
      </c>
      <c r="N60">
        <v>1285</v>
      </c>
      <c r="P60">
        <v>2</v>
      </c>
      <c r="Q60">
        <v>2</v>
      </c>
      <c r="W60">
        <v>3.1305492478407362</v>
      </c>
      <c r="X60">
        <v>1.7267082789812844</v>
      </c>
      <c r="AC60">
        <f t="shared" si="6"/>
        <v>1.7267082789812844</v>
      </c>
      <c r="AD60" t="e">
        <f t="shared" si="6"/>
        <v>#N/A</v>
      </c>
      <c r="AE60" t="e">
        <f t="shared" si="6"/>
        <v>#N/A</v>
      </c>
      <c r="AG60" t="e">
        <f t="shared" si="7"/>
        <v>#N/A</v>
      </c>
      <c r="AH60">
        <f t="shared" si="7"/>
        <v>1.7267082789812844</v>
      </c>
      <c r="AI60" t="e">
        <f t="shared" si="7"/>
        <v>#N/A</v>
      </c>
    </row>
    <row r="61" spans="1:35" x14ac:dyDescent="0.25">
      <c r="A61" t="s">
        <v>15</v>
      </c>
      <c r="B61">
        <v>12.37</v>
      </c>
      <c r="C61">
        <v>0.94</v>
      </c>
      <c r="D61">
        <v>1.36</v>
      </c>
      <c r="E61">
        <v>10.6</v>
      </c>
      <c r="F61">
        <v>88</v>
      </c>
      <c r="G61">
        <v>1.98</v>
      </c>
      <c r="H61">
        <v>0.56999999999999995</v>
      </c>
      <c r="I61">
        <v>0.28000000000000003</v>
      </c>
      <c r="J61">
        <v>0.42</v>
      </c>
      <c r="K61">
        <v>1.95</v>
      </c>
      <c r="L61">
        <v>1.05</v>
      </c>
      <c r="M61">
        <v>1.82</v>
      </c>
      <c r="N61">
        <v>520</v>
      </c>
      <c r="P61">
        <v>1</v>
      </c>
      <c r="Q61">
        <v>1</v>
      </c>
      <c r="W61">
        <v>-0.92596991881157997</v>
      </c>
      <c r="X61">
        <v>-3.0648406153332828</v>
      </c>
      <c r="AC61" t="e">
        <f t="shared" si="6"/>
        <v>#N/A</v>
      </c>
      <c r="AD61">
        <f t="shared" si="6"/>
        <v>-3.0648406153332828</v>
      </c>
      <c r="AE61" t="e">
        <f t="shared" si="6"/>
        <v>#N/A</v>
      </c>
      <c r="AG61">
        <f t="shared" si="7"/>
        <v>-3.0648406153332828</v>
      </c>
      <c r="AH61" t="e">
        <f t="shared" si="7"/>
        <v>#N/A</v>
      </c>
      <c r="AI61" t="e">
        <f t="shared" si="7"/>
        <v>#N/A</v>
      </c>
    </row>
    <row r="62" spans="1:35" x14ac:dyDescent="0.25">
      <c r="A62" t="s">
        <v>15</v>
      </c>
      <c r="B62">
        <v>12.33</v>
      </c>
      <c r="C62">
        <v>1.1000000000000001</v>
      </c>
      <c r="D62">
        <v>2.2799999999999998</v>
      </c>
      <c r="E62">
        <v>16</v>
      </c>
      <c r="F62">
        <v>101</v>
      </c>
      <c r="G62">
        <v>2.0499999999999998</v>
      </c>
      <c r="H62">
        <v>1.0900000000000001</v>
      </c>
      <c r="I62">
        <v>0.63</v>
      </c>
      <c r="J62">
        <v>0.41</v>
      </c>
      <c r="K62">
        <v>3.27</v>
      </c>
      <c r="L62">
        <v>1.25</v>
      </c>
      <c r="M62">
        <v>1.67</v>
      </c>
      <c r="N62">
        <v>680</v>
      </c>
      <c r="P62">
        <v>1</v>
      </c>
      <c r="Q62">
        <v>1</v>
      </c>
      <c r="W62">
        <v>-1.538141225936972</v>
      </c>
      <c r="X62">
        <v>-1.3775575836033482</v>
      </c>
      <c r="AC62" t="e">
        <f t="shared" si="6"/>
        <v>#N/A</v>
      </c>
      <c r="AD62">
        <f t="shared" si="6"/>
        <v>-1.3775575836033482</v>
      </c>
      <c r="AE62" t="e">
        <f t="shared" si="6"/>
        <v>#N/A</v>
      </c>
      <c r="AG62">
        <f t="shared" si="7"/>
        <v>-1.3775575836033482</v>
      </c>
      <c r="AH62" t="e">
        <f t="shared" si="7"/>
        <v>#N/A</v>
      </c>
      <c r="AI62" t="e">
        <f t="shared" si="7"/>
        <v>#N/A</v>
      </c>
    </row>
    <row r="63" spans="1:35" x14ac:dyDescent="0.25">
      <c r="A63" t="s">
        <v>15</v>
      </c>
      <c r="B63">
        <v>12.64</v>
      </c>
      <c r="C63">
        <v>1.36</v>
      </c>
      <c r="D63">
        <v>2.02</v>
      </c>
      <c r="E63">
        <v>16.8</v>
      </c>
      <c r="F63">
        <v>100</v>
      </c>
      <c r="G63">
        <v>2.02</v>
      </c>
      <c r="H63">
        <v>1.41</v>
      </c>
      <c r="I63">
        <v>0.53</v>
      </c>
      <c r="J63">
        <v>0.62</v>
      </c>
      <c r="K63">
        <v>5.75</v>
      </c>
      <c r="L63">
        <v>0.98</v>
      </c>
      <c r="M63">
        <v>1.59</v>
      </c>
      <c r="N63">
        <v>450</v>
      </c>
      <c r="P63">
        <v>3</v>
      </c>
      <c r="Q63">
        <v>3</v>
      </c>
      <c r="W63">
        <v>-1.8310844936806825</v>
      </c>
      <c r="X63">
        <v>-0.8276494234104087</v>
      </c>
      <c r="AC63" t="e">
        <f t="shared" si="6"/>
        <v>#N/A</v>
      </c>
      <c r="AD63">
        <f t="shared" si="6"/>
        <v>-0.8276494234104087</v>
      </c>
      <c r="AE63" t="e">
        <f t="shared" si="6"/>
        <v>#N/A</v>
      </c>
      <c r="AG63" t="e">
        <f t="shared" si="7"/>
        <v>#N/A</v>
      </c>
      <c r="AH63" t="e">
        <f t="shared" si="7"/>
        <v>#N/A</v>
      </c>
      <c r="AI63">
        <f t="shared" si="7"/>
        <v>-0.8276494234104087</v>
      </c>
    </row>
    <row r="64" spans="1:35" x14ac:dyDescent="0.25">
      <c r="A64" t="s">
        <v>15</v>
      </c>
      <c r="B64">
        <v>13.67</v>
      </c>
      <c r="C64">
        <v>1.25</v>
      </c>
      <c r="D64">
        <v>1.92</v>
      </c>
      <c r="E64">
        <v>18</v>
      </c>
      <c r="F64">
        <v>94</v>
      </c>
      <c r="G64">
        <v>2.1</v>
      </c>
      <c r="H64">
        <v>1.79</v>
      </c>
      <c r="I64">
        <v>0.32</v>
      </c>
      <c r="J64">
        <v>0.73</v>
      </c>
      <c r="K64">
        <v>3.8</v>
      </c>
      <c r="L64">
        <v>1.23</v>
      </c>
      <c r="M64">
        <v>2.46</v>
      </c>
      <c r="N64">
        <v>630</v>
      </c>
      <c r="P64">
        <v>1</v>
      </c>
      <c r="Q64">
        <v>1</v>
      </c>
      <c r="W64">
        <v>3.05207387526098E-2</v>
      </c>
      <c r="X64">
        <v>-1.2592339961460777</v>
      </c>
      <c r="AC64" t="e">
        <f t="shared" si="6"/>
        <v>#N/A</v>
      </c>
      <c r="AD64">
        <f t="shared" si="6"/>
        <v>-1.2592339961460777</v>
      </c>
      <c r="AE64" t="e">
        <f t="shared" si="6"/>
        <v>#N/A</v>
      </c>
      <c r="AG64">
        <f t="shared" si="7"/>
        <v>-1.2592339961460777</v>
      </c>
      <c r="AH64" t="e">
        <f t="shared" si="7"/>
        <v>#N/A</v>
      </c>
      <c r="AI64" t="e">
        <f t="shared" si="7"/>
        <v>#N/A</v>
      </c>
    </row>
    <row r="65" spans="1:35" x14ac:dyDescent="0.25">
      <c r="A65" t="s">
        <v>15</v>
      </c>
      <c r="B65">
        <v>12.37</v>
      </c>
      <c r="C65">
        <v>1.1299999999999999</v>
      </c>
      <c r="D65">
        <v>2.16</v>
      </c>
      <c r="E65">
        <v>19</v>
      </c>
      <c r="F65">
        <v>87</v>
      </c>
      <c r="G65">
        <v>3.5</v>
      </c>
      <c r="H65">
        <v>3.1</v>
      </c>
      <c r="I65">
        <v>0.19</v>
      </c>
      <c r="J65">
        <v>1.87</v>
      </c>
      <c r="K65">
        <v>4.45</v>
      </c>
      <c r="L65">
        <v>1.22</v>
      </c>
      <c r="M65">
        <v>2.87</v>
      </c>
      <c r="N65">
        <v>420</v>
      </c>
      <c r="P65">
        <v>1</v>
      </c>
      <c r="Q65">
        <v>1</v>
      </c>
      <c r="W65">
        <v>2.0444943342970276</v>
      </c>
      <c r="X65">
        <v>-1.9196175936628934</v>
      </c>
      <c r="AC65" t="e">
        <f t="shared" si="6"/>
        <v>#N/A</v>
      </c>
      <c r="AD65">
        <f t="shared" si="6"/>
        <v>-1.9196175936628934</v>
      </c>
      <c r="AE65" t="e">
        <f t="shared" si="6"/>
        <v>#N/A</v>
      </c>
      <c r="AG65">
        <f t="shared" si="7"/>
        <v>-1.9196175936628934</v>
      </c>
      <c r="AH65" t="e">
        <f t="shared" si="7"/>
        <v>#N/A</v>
      </c>
      <c r="AI65" t="e">
        <f t="shared" si="7"/>
        <v>#N/A</v>
      </c>
    </row>
    <row r="66" spans="1:35" x14ac:dyDescent="0.25">
      <c r="A66" t="s">
        <v>15</v>
      </c>
      <c r="B66">
        <v>12.17</v>
      </c>
      <c r="C66">
        <v>1.45</v>
      </c>
      <c r="D66">
        <v>2.5299999999999998</v>
      </c>
      <c r="E66">
        <v>19</v>
      </c>
      <c r="F66">
        <v>104</v>
      </c>
      <c r="G66">
        <v>1.89</v>
      </c>
      <c r="H66">
        <v>1.75</v>
      </c>
      <c r="I66">
        <v>0.45</v>
      </c>
      <c r="J66">
        <v>1.03</v>
      </c>
      <c r="K66">
        <v>2.95</v>
      </c>
      <c r="L66">
        <v>1.45</v>
      </c>
      <c r="M66">
        <v>2.23</v>
      </c>
      <c r="N66">
        <v>355</v>
      </c>
      <c r="P66">
        <v>1</v>
      </c>
      <c r="Q66">
        <v>1</v>
      </c>
      <c r="W66">
        <v>-0.60796582844778335</v>
      </c>
      <c r="X66">
        <v>-1.9026915404386813</v>
      </c>
      <c r="AC66" t="e">
        <f t="shared" si="6"/>
        <v>#N/A</v>
      </c>
      <c r="AD66">
        <f t="shared" si="6"/>
        <v>-1.9026915404386813</v>
      </c>
      <c r="AE66" t="e">
        <f t="shared" si="6"/>
        <v>#N/A</v>
      </c>
      <c r="AG66">
        <f t="shared" si="7"/>
        <v>-1.9026915404386813</v>
      </c>
      <c r="AH66" t="e">
        <f t="shared" si="7"/>
        <v>#N/A</v>
      </c>
      <c r="AI66" t="e">
        <f t="shared" si="7"/>
        <v>#N/A</v>
      </c>
    </row>
    <row r="67" spans="1:35" x14ac:dyDescent="0.25">
      <c r="A67" t="s">
        <v>15</v>
      </c>
      <c r="B67">
        <v>12.37</v>
      </c>
      <c r="C67">
        <v>1.21</v>
      </c>
      <c r="D67">
        <v>2.56</v>
      </c>
      <c r="E67">
        <v>18.100000000000001</v>
      </c>
      <c r="F67">
        <v>98</v>
      </c>
      <c r="G67">
        <v>2.42</v>
      </c>
      <c r="H67">
        <v>2.65</v>
      </c>
      <c r="I67">
        <v>0.37</v>
      </c>
      <c r="J67">
        <v>2.08</v>
      </c>
      <c r="K67">
        <v>4.5999999999999996</v>
      </c>
      <c r="L67">
        <v>1.19</v>
      </c>
      <c r="M67">
        <v>2.2999999999999998</v>
      </c>
      <c r="N67">
        <v>678</v>
      </c>
      <c r="P67">
        <v>1</v>
      </c>
      <c r="Q67">
        <v>1</v>
      </c>
      <c r="W67">
        <v>0.89769554724954026</v>
      </c>
      <c r="X67">
        <v>-0.76176263260831079</v>
      </c>
      <c r="AC67" t="e">
        <f t="shared" ref="AC67:AE98" si="8">IF($A67=AC$1,$X67,NA())</f>
        <v>#N/A</v>
      </c>
      <c r="AD67">
        <f t="shared" si="8"/>
        <v>-0.76176263260831079</v>
      </c>
      <c r="AE67" t="e">
        <f t="shared" si="8"/>
        <v>#N/A</v>
      </c>
      <c r="AG67">
        <f t="shared" ref="AG67:AI98" si="9">IF($P67=AG$1,$X67,NA())</f>
        <v>-0.76176263260831079</v>
      </c>
      <c r="AH67" t="e">
        <f t="shared" si="9"/>
        <v>#N/A</v>
      </c>
      <c r="AI67" t="e">
        <f t="shared" si="9"/>
        <v>#N/A</v>
      </c>
    </row>
    <row r="68" spans="1:35" x14ac:dyDescent="0.25">
      <c r="A68" t="s">
        <v>15</v>
      </c>
      <c r="B68">
        <v>13.11</v>
      </c>
      <c r="C68">
        <v>1.01</v>
      </c>
      <c r="D68">
        <v>1.7</v>
      </c>
      <c r="E68">
        <v>15</v>
      </c>
      <c r="F68">
        <v>78</v>
      </c>
      <c r="G68">
        <v>2.98</v>
      </c>
      <c r="H68">
        <v>3.18</v>
      </c>
      <c r="I68">
        <v>0.26</v>
      </c>
      <c r="J68">
        <v>2.2799999999999998</v>
      </c>
      <c r="K68">
        <v>5.3</v>
      </c>
      <c r="L68">
        <v>1.1200000000000001</v>
      </c>
      <c r="M68">
        <v>3.18</v>
      </c>
      <c r="N68">
        <v>502</v>
      </c>
      <c r="P68">
        <v>2</v>
      </c>
      <c r="Q68">
        <v>2</v>
      </c>
      <c r="W68">
        <v>2.24218226354024</v>
      </c>
      <c r="X68">
        <v>-1.8792912294812874</v>
      </c>
      <c r="AC68" t="e">
        <f t="shared" si="8"/>
        <v>#N/A</v>
      </c>
      <c r="AD68">
        <f t="shared" si="8"/>
        <v>-1.8792912294812874</v>
      </c>
      <c r="AE68" t="e">
        <f t="shared" si="8"/>
        <v>#N/A</v>
      </c>
      <c r="AG68" t="e">
        <f t="shared" si="9"/>
        <v>#N/A</v>
      </c>
      <c r="AH68">
        <f t="shared" si="9"/>
        <v>-1.8792912294812874</v>
      </c>
      <c r="AI68" t="e">
        <f t="shared" si="9"/>
        <v>#N/A</v>
      </c>
    </row>
    <row r="69" spans="1:35" x14ac:dyDescent="0.25">
      <c r="A69" t="s">
        <v>15</v>
      </c>
      <c r="B69">
        <v>12.37</v>
      </c>
      <c r="C69">
        <v>1.17</v>
      </c>
      <c r="D69">
        <v>1.92</v>
      </c>
      <c r="E69">
        <v>19.600000000000001</v>
      </c>
      <c r="F69">
        <v>78</v>
      </c>
      <c r="G69">
        <v>2.11</v>
      </c>
      <c r="H69">
        <v>2</v>
      </c>
      <c r="I69">
        <v>0.27</v>
      </c>
      <c r="J69">
        <v>1.04</v>
      </c>
      <c r="K69">
        <v>4.68</v>
      </c>
      <c r="L69">
        <v>1.1200000000000001</v>
      </c>
      <c r="M69">
        <v>3.48</v>
      </c>
      <c r="N69">
        <v>510</v>
      </c>
      <c r="P69">
        <v>1</v>
      </c>
      <c r="Q69">
        <v>1</v>
      </c>
      <c r="W69">
        <v>0.18286817748197545</v>
      </c>
      <c r="X69">
        <v>-2.4203186860248644</v>
      </c>
      <c r="AC69" t="e">
        <f t="shared" si="8"/>
        <v>#N/A</v>
      </c>
      <c r="AD69">
        <f t="shared" si="8"/>
        <v>-2.4203186860248644</v>
      </c>
      <c r="AE69" t="e">
        <f t="shared" si="8"/>
        <v>#N/A</v>
      </c>
      <c r="AG69">
        <f t="shared" si="9"/>
        <v>-2.4203186860248644</v>
      </c>
      <c r="AH69" t="e">
        <f t="shared" si="9"/>
        <v>#N/A</v>
      </c>
      <c r="AI69" t="e">
        <f t="shared" si="9"/>
        <v>#N/A</v>
      </c>
    </row>
    <row r="70" spans="1:35" x14ac:dyDescent="0.25">
      <c r="A70" t="s">
        <v>15</v>
      </c>
      <c r="B70">
        <v>13.34</v>
      </c>
      <c r="C70">
        <v>0.94</v>
      </c>
      <c r="D70">
        <v>2.36</v>
      </c>
      <c r="E70">
        <v>17</v>
      </c>
      <c r="F70">
        <v>110</v>
      </c>
      <c r="G70">
        <v>2.5299999999999998</v>
      </c>
      <c r="H70">
        <v>1.3</v>
      </c>
      <c r="I70">
        <v>0.55000000000000004</v>
      </c>
      <c r="J70">
        <v>0.42</v>
      </c>
      <c r="K70">
        <v>3.17</v>
      </c>
      <c r="L70">
        <v>1.02</v>
      </c>
      <c r="M70">
        <v>1.93</v>
      </c>
      <c r="N70">
        <v>750</v>
      </c>
      <c r="P70">
        <v>1</v>
      </c>
      <c r="Q70">
        <v>1</v>
      </c>
      <c r="W70">
        <v>-0.81051865144018698</v>
      </c>
      <c r="X70">
        <v>-0.21989369335694081</v>
      </c>
      <c r="AC70" t="e">
        <f t="shared" si="8"/>
        <v>#N/A</v>
      </c>
      <c r="AD70">
        <f t="shared" si="8"/>
        <v>-0.21989369335694081</v>
      </c>
      <c r="AE70" t="e">
        <f t="shared" si="8"/>
        <v>#N/A</v>
      </c>
      <c r="AG70">
        <f t="shared" si="9"/>
        <v>-0.21989369335694081</v>
      </c>
      <c r="AH70" t="e">
        <f t="shared" si="9"/>
        <v>#N/A</v>
      </c>
      <c r="AI70" t="e">
        <f t="shared" si="9"/>
        <v>#N/A</v>
      </c>
    </row>
    <row r="71" spans="1:35" x14ac:dyDescent="0.25">
      <c r="A71" t="s">
        <v>15</v>
      </c>
      <c r="B71">
        <v>12.21</v>
      </c>
      <c r="C71">
        <v>1.19</v>
      </c>
      <c r="D71">
        <v>1.75</v>
      </c>
      <c r="E71">
        <v>16.8</v>
      </c>
      <c r="F71">
        <v>151</v>
      </c>
      <c r="G71">
        <v>1.85</v>
      </c>
      <c r="H71">
        <v>1.28</v>
      </c>
      <c r="I71">
        <v>0.14000000000000001</v>
      </c>
      <c r="J71">
        <v>2.5</v>
      </c>
      <c r="K71">
        <v>2.85</v>
      </c>
      <c r="L71">
        <v>1.28</v>
      </c>
      <c r="M71">
        <v>3.07</v>
      </c>
      <c r="N71">
        <v>718</v>
      </c>
      <c r="P71">
        <v>1</v>
      </c>
      <c r="Q71">
        <v>1</v>
      </c>
      <c r="W71">
        <v>1.9700631867919625</v>
      </c>
      <c r="X71">
        <v>-1.3993358658385344</v>
      </c>
      <c r="AC71" t="e">
        <f t="shared" si="8"/>
        <v>#N/A</v>
      </c>
      <c r="AD71">
        <f t="shared" si="8"/>
        <v>-1.3993358658385344</v>
      </c>
      <c r="AE71" t="e">
        <f t="shared" si="8"/>
        <v>#N/A</v>
      </c>
      <c r="AG71">
        <f t="shared" si="9"/>
        <v>-1.3993358658385344</v>
      </c>
      <c r="AH71" t="e">
        <f t="shared" si="9"/>
        <v>#N/A</v>
      </c>
      <c r="AI71" t="e">
        <f t="shared" si="9"/>
        <v>#N/A</v>
      </c>
    </row>
    <row r="72" spans="1:35" x14ac:dyDescent="0.25">
      <c r="A72" t="s">
        <v>15</v>
      </c>
      <c r="B72">
        <v>12.29</v>
      </c>
      <c r="C72">
        <v>1.61</v>
      </c>
      <c r="D72">
        <v>2.21</v>
      </c>
      <c r="E72">
        <v>20.399999999999999</v>
      </c>
      <c r="F72">
        <v>103</v>
      </c>
      <c r="G72">
        <v>1.1000000000000001</v>
      </c>
      <c r="H72">
        <v>1.02</v>
      </c>
      <c r="I72">
        <v>0.37</v>
      </c>
      <c r="J72">
        <v>1.46</v>
      </c>
      <c r="K72">
        <v>3.05</v>
      </c>
      <c r="L72">
        <v>0.90600000000000003</v>
      </c>
      <c r="M72">
        <v>1.82</v>
      </c>
      <c r="N72">
        <v>870</v>
      </c>
      <c r="P72">
        <v>1</v>
      </c>
      <c r="Q72">
        <v>1</v>
      </c>
      <c r="W72">
        <v>-1.567793661750031</v>
      </c>
      <c r="X72">
        <v>-0.88249372771492263</v>
      </c>
      <c r="AC72" t="e">
        <f t="shared" si="8"/>
        <v>#N/A</v>
      </c>
      <c r="AD72">
        <f t="shared" si="8"/>
        <v>-0.88249372771492263</v>
      </c>
      <c r="AE72" t="e">
        <f t="shared" si="8"/>
        <v>#N/A</v>
      </c>
      <c r="AG72">
        <f t="shared" si="9"/>
        <v>-0.88249372771492263</v>
      </c>
      <c r="AH72" t="e">
        <f t="shared" si="9"/>
        <v>#N/A</v>
      </c>
      <c r="AI72" t="e">
        <f t="shared" si="9"/>
        <v>#N/A</v>
      </c>
    </row>
    <row r="73" spans="1:35" x14ac:dyDescent="0.25">
      <c r="A73" t="s">
        <v>15</v>
      </c>
      <c r="B73">
        <v>13.86</v>
      </c>
      <c r="C73">
        <v>1.51</v>
      </c>
      <c r="D73">
        <v>2.67</v>
      </c>
      <c r="E73">
        <v>25</v>
      </c>
      <c r="F73">
        <v>86</v>
      </c>
      <c r="G73">
        <v>2.95</v>
      </c>
      <c r="H73">
        <v>2.86</v>
      </c>
      <c r="I73">
        <v>0.21</v>
      </c>
      <c r="J73">
        <v>1.87</v>
      </c>
      <c r="K73">
        <v>3.38</v>
      </c>
      <c r="L73">
        <v>1.36</v>
      </c>
      <c r="M73">
        <v>3.16</v>
      </c>
      <c r="N73">
        <v>410</v>
      </c>
      <c r="P73">
        <v>2</v>
      </c>
      <c r="Q73">
        <v>2</v>
      </c>
      <c r="W73">
        <v>1.6530188409438817</v>
      </c>
      <c r="X73">
        <v>-0.95402101860303479</v>
      </c>
      <c r="AC73" t="e">
        <f t="shared" si="8"/>
        <v>#N/A</v>
      </c>
      <c r="AD73">
        <f t="shared" si="8"/>
        <v>-0.95402101860303479</v>
      </c>
      <c r="AE73" t="e">
        <f t="shared" si="8"/>
        <v>#N/A</v>
      </c>
      <c r="AG73" t="e">
        <f t="shared" si="9"/>
        <v>#N/A</v>
      </c>
      <c r="AH73">
        <f t="shared" si="9"/>
        <v>-0.95402101860303479</v>
      </c>
      <c r="AI73" t="e">
        <f t="shared" si="9"/>
        <v>#N/A</v>
      </c>
    </row>
    <row r="74" spans="1:35" x14ac:dyDescent="0.25">
      <c r="A74" t="s">
        <v>15</v>
      </c>
      <c r="B74">
        <v>13.49</v>
      </c>
      <c r="C74">
        <v>1.66</v>
      </c>
      <c r="D74">
        <v>2.2400000000000002</v>
      </c>
      <c r="E74">
        <v>24</v>
      </c>
      <c r="F74">
        <v>87</v>
      </c>
      <c r="G74">
        <v>1.88</v>
      </c>
      <c r="H74">
        <v>1.84</v>
      </c>
      <c r="I74">
        <v>0.27</v>
      </c>
      <c r="J74">
        <v>1.03</v>
      </c>
      <c r="K74">
        <v>3.74</v>
      </c>
      <c r="L74">
        <v>0.98</v>
      </c>
      <c r="M74">
        <v>2.78</v>
      </c>
      <c r="N74">
        <v>472</v>
      </c>
      <c r="P74">
        <v>1</v>
      </c>
      <c r="Q74">
        <v>1</v>
      </c>
      <c r="W74">
        <v>-0.72333195535139683</v>
      </c>
      <c r="X74">
        <v>-1.0606534245503938</v>
      </c>
      <c r="AC74" t="e">
        <f t="shared" si="8"/>
        <v>#N/A</v>
      </c>
      <c r="AD74">
        <f t="shared" si="8"/>
        <v>-1.0606534245503938</v>
      </c>
      <c r="AE74" t="e">
        <f t="shared" si="8"/>
        <v>#N/A</v>
      </c>
      <c r="AG74">
        <f t="shared" si="9"/>
        <v>-1.0606534245503938</v>
      </c>
      <c r="AH74" t="e">
        <f t="shared" si="9"/>
        <v>#N/A</v>
      </c>
      <c r="AI74" t="e">
        <f t="shared" si="9"/>
        <v>#N/A</v>
      </c>
    </row>
    <row r="75" spans="1:35" x14ac:dyDescent="0.25">
      <c r="A75" t="s">
        <v>15</v>
      </c>
      <c r="B75">
        <v>12.99</v>
      </c>
      <c r="C75">
        <v>1.67</v>
      </c>
      <c r="D75">
        <v>2.6</v>
      </c>
      <c r="E75">
        <v>30</v>
      </c>
      <c r="F75">
        <v>139</v>
      </c>
      <c r="G75">
        <v>3.3</v>
      </c>
      <c r="H75">
        <v>2.89</v>
      </c>
      <c r="I75">
        <v>0.21</v>
      </c>
      <c r="J75">
        <v>1.96</v>
      </c>
      <c r="K75">
        <v>3.35</v>
      </c>
      <c r="L75">
        <v>1.31</v>
      </c>
      <c r="M75">
        <v>3.5</v>
      </c>
      <c r="N75">
        <v>985</v>
      </c>
      <c r="P75">
        <v>2</v>
      </c>
      <c r="Q75">
        <v>2</v>
      </c>
      <c r="W75">
        <v>2.5550197688162659</v>
      </c>
      <c r="X75">
        <v>0.25946662684644939</v>
      </c>
      <c r="AC75" t="e">
        <f t="shared" si="8"/>
        <v>#N/A</v>
      </c>
      <c r="AD75">
        <f t="shared" si="8"/>
        <v>0.25946662684644939</v>
      </c>
      <c r="AE75" t="e">
        <f t="shared" si="8"/>
        <v>#N/A</v>
      </c>
      <c r="AG75" t="e">
        <f t="shared" si="9"/>
        <v>#N/A</v>
      </c>
      <c r="AH75">
        <f t="shared" si="9"/>
        <v>0.25946662684644939</v>
      </c>
      <c r="AI75" t="e">
        <f t="shared" si="9"/>
        <v>#N/A</v>
      </c>
    </row>
    <row r="76" spans="1:35" x14ac:dyDescent="0.25">
      <c r="A76" t="s">
        <v>15</v>
      </c>
      <c r="B76">
        <v>11.96</v>
      </c>
      <c r="C76">
        <v>1.0900000000000001</v>
      </c>
      <c r="D76">
        <v>2.2999999999999998</v>
      </c>
      <c r="E76">
        <v>21</v>
      </c>
      <c r="F76">
        <v>101</v>
      </c>
      <c r="G76">
        <v>3.38</v>
      </c>
      <c r="H76">
        <v>2.14</v>
      </c>
      <c r="I76">
        <v>0.13</v>
      </c>
      <c r="J76">
        <v>1.65</v>
      </c>
      <c r="K76">
        <v>3.21</v>
      </c>
      <c r="L76">
        <v>0.99</v>
      </c>
      <c r="M76">
        <v>3.13</v>
      </c>
      <c r="N76">
        <v>886</v>
      </c>
      <c r="P76">
        <v>1</v>
      </c>
      <c r="Q76">
        <v>1</v>
      </c>
      <c r="W76">
        <v>1.8274126581032637</v>
      </c>
      <c r="X76">
        <v>-1.2842554670647643</v>
      </c>
      <c r="AC76" t="e">
        <f t="shared" si="8"/>
        <v>#N/A</v>
      </c>
      <c r="AD76">
        <f t="shared" si="8"/>
        <v>-1.2842554670647643</v>
      </c>
      <c r="AE76" t="e">
        <f t="shared" si="8"/>
        <v>#N/A</v>
      </c>
      <c r="AG76">
        <f t="shared" si="9"/>
        <v>-1.2842554670647643</v>
      </c>
      <c r="AH76" t="e">
        <f t="shared" si="9"/>
        <v>#N/A</v>
      </c>
      <c r="AI76" t="e">
        <f t="shared" si="9"/>
        <v>#N/A</v>
      </c>
    </row>
    <row r="77" spans="1:35" x14ac:dyDescent="0.25">
      <c r="A77" t="s">
        <v>15</v>
      </c>
      <c r="B77">
        <v>11.66</v>
      </c>
      <c r="C77">
        <v>1.88</v>
      </c>
      <c r="D77">
        <v>1.92</v>
      </c>
      <c r="E77">
        <v>16</v>
      </c>
      <c r="F77">
        <v>97</v>
      </c>
      <c r="G77">
        <v>1.61</v>
      </c>
      <c r="H77">
        <v>1.57</v>
      </c>
      <c r="I77">
        <v>0.34</v>
      </c>
      <c r="J77">
        <v>1.1499999999999999</v>
      </c>
      <c r="K77">
        <v>3.8</v>
      </c>
      <c r="L77">
        <v>1.23</v>
      </c>
      <c r="M77">
        <v>2.14</v>
      </c>
      <c r="N77">
        <v>428</v>
      </c>
      <c r="P77">
        <v>1</v>
      </c>
      <c r="Q77">
        <v>1</v>
      </c>
      <c r="W77">
        <v>-0.86555128678229498</v>
      </c>
      <c r="X77">
        <v>-2.4372260630212077</v>
      </c>
      <c r="AC77" t="e">
        <f t="shared" si="8"/>
        <v>#N/A</v>
      </c>
      <c r="AD77">
        <f t="shared" si="8"/>
        <v>-2.4372260630212077</v>
      </c>
      <c r="AE77" t="e">
        <f t="shared" si="8"/>
        <v>#N/A</v>
      </c>
      <c r="AG77">
        <f t="shared" si="9"/>
        <v>-2.4372260630212077</v>
      </c>
      <c r="AH77" t="e">
        <f t="shared" si="9"/>
        <v>#N/A</v>
      </c>
      <c r="AI77" t="e">
        <f t="shared" si="9"/>
        <v>#N/A</v>
      </c>
    </row>
    <row r="78" spans="1:35" x14ac:dyDescent="0.25">
      <c r="A78" t="s">
        <v>15</v>
      </c>
      <c r="B78">
        <v>13.03</v>
      </c>
      <c r="C78">
        <v>0.9</v>
      </c>
      <c r="D78">
        <v>1.71</v>
      </c>
      <c r="E78">
        <v>16</v>
      </c>
      <c r="F78">
        <v>86</v>
      </c>
      <c r="G78">
        <v>1.95</v>
      </c>
      <c r="H78">
        <v>2.0299999999999998</v>
      </c>
      <c r="I78">
        <v>0.24</v>
      </c>
      <c r="J78">
        <v>1.46</v>
      </c>
      <c r="K78">
        <v>4.5999999999999996</v>
      </c>
      <c r="L78">
        <v>1.19</v>
      </c>
      <c r="M78">
        <v>2.48</v>
      </c>
      <c r="N78">
        <v>392</v>
      </c>
      <c r="P78">
        <v>1</v>
      </c>
      <c r="Q78">
        <v>1</v>
      </c>
      <c r="W78">
        <v>0.36897357410701304</v>
      </c>
      <c r="X78">
        <v>-2.1478481530276512</v>
      </c>
      <c r="AC78" t="e">
        <f t="shared" si="8"/>
        <v>#N/A</v>
      </c>
      <c r="AD78">
        <f t="shared" si="8"/>
        <v>-2.1478481530276512</v>
      </c>
      <c r="AE78" t="e">
        <f t="shared" si="8"/>
        <v>#N/A</v>
      </c>
      <c r="AG78">
        <f t="shared" si="9"/>
        <v>-2.1478481530276512</v>
      </c>
      <c r="AH78" t="e">
        <f t="shared" si="9"/>
        <v>#N/A</v>
      </c>
      <c r="AI78" t="e">
        <f t="shared" si="9"/>
        <v>#N/A</v>
      </c>
    </row>
    <row r="79" spans="1:35" x14ac:dyDescent="0.25">
      <c r="A79" t="s">
        <v>15</v>
      </c>
      <c r="B79">
        <v>11.84</v>
      </c>
      <c r="C79">
        <v>2.89</v>
      </c>
      <c r="D79">
        <v>2.23</v>
      </c>
      <c r="E79">
        <v>18</v>
      </c>
      <c r="F79">
        <v>112</v>
      </c>
      <c r="G79">
        <v>1.72</v>
      </c>
      <c r="H79">
        <v>1.32</v>
      </c>
      <c r="I79">
        <v>0.43</v>
      </c>
      <c r="J79">
        <v>0.95</v>
      </c>
      <c r="K79">
        <v>2.65</v>
      </c>
      <c r="L79">
        <v>0.96</v>
      </c>
      <c r="M79">
        <v>2.52</v>
      </c>
      <c r="N79">
        <v>500</v>
      </c>
      <c r="P79">
        <v>1</v>
      </c>
      <c r="Q79">
        <v>1</v>
      </c>
      <c r="W79">
        <v>-1.4532775232982109</v>
      </c>
      <c r="X79">
        <v>-1.3794604763792</v>
      </c>
      <c r="AC79" t="e">
        <f t="shared" si="8"/>
        <v>#N/A</v>
      </c>
      <c r="AD79">
        <f t="shared" si="8"/>
        <v>-1.3794604763792</v>
      </c>
      <c r="AE79" t="e">
        <f t="shared" si="8"/>
        <v>#N/A</v>
      </c>
      <c r="AG79">
        <f t="shared" si="9"/>
        <v>-1.3794604763792</v>
      </c>
      <c r="AH79" t="e">
        <f t="shared" si="9"/>
        <v>#N/A</v>
      </c>
      <c r="AI79" t="e">
        <f t="shared" si="9"/>
        <v>#N/A</v>
      </c>
    </row>
    <row r="80" spans="1:35" x14ac:dyDescent="0.25">
      <c r="A80" t="s">
        <v>15</v>
      </c>
      <c r="B80">
        <v>12.33</v>
      </c>
      <c r="C80">
        <v>0.99</v>
      </c>
      <c r="D80">
        <v>1.95</v>
      </c>
      <c r="E80">
        <v>14.8</v>
      </c>
      <c r="F80">
        <v>136</v>
      </c>
      <c r="G80">
        <v>1.9</v>
      </c>
      <c r="H80">
        <v>1.85</v>
      </c>
      <c r="I80">
        <v>0.35</v>
      </c>
      <c r="J80">
        <v>2.76</v>
      </c>
      <c r="K80">
        <v>3.4</v>
      </c>
      <c r="L80">
        <v>1.06</v>
      </c>
      <c r="M80">
        <v>2.31</v>
      </c>
      <c r="N80">
        <v>750</v>
      </c>
      <c r="P80">
        <v>1</v>
      </c>
      <c r="Q80">
        <v>1</v>
      </c>
      <c r="W80">
        <v>1.259378294569848</v>
      </c>
      <c r="X80">
        <v>-0.76868117209774245</v>
      </c>
      <c r="AC80" t="e">
        <f t="shared" si="8"/>
        <v>#N/A</v>
      </c>
      <c r="AD80">
        <f t="shared" si="8"/>
        <v>-0.76868117209774245</v>
      </c>
      <c r="AE80" t="e">
        <f t="shared" si="8"/>
        <v>#N/A</v>
      </c>
      <c r="AG80">
        <f t="shared" si="9"/>
        <v>-0.76868117209774245</v>
      </c>
      <c r="AH80" t="e">
        <f t="shared" si="9"/>
        <v>#N/A</v>
      </c>
      <c r="AI80" t="e">
        <f t="shared" si="9"/>
        <v>#N/A</v>
      </c>
    </row>
    <row r="81" spans="1:35" x14ac:dyDescent="0.25">
      <c r="A81" t="s">
        <v>15</v>
      </c>
      <c r="B81">
        <v>12.7</v>
      </c>
      <c r="C81">
        <v>3.87</v>
      </c>
      <c r="D81">
        <v>2.4</v>
      </c>
      <c r="E81">
        <v>23</v>
      </c>
      <c r="F81">
        <v>101</v>
      </c>
      <c r="G81">
        <v>2.83</v>
      </c>
      <c r="H81">
        <v>2.5499999999999998</v>
      </c>
      <c r="I81">
        <v>0.43</v>
      </c>
      <c r="J81">
        <v>1.95</v>
      </c>
      <c r="K81">
        <v>2.57</v>
      </c>
      <c r="L81">
        <v>1.19</v>
      </c>
      <c r="M81">
        <v>3.13</v>
      </c>
      <c r="N81">
        <v>463</v>
      </c>
      <c r="P81">
        <v>1</v>
      </c>
      <c r="Q81">
        <v>1</v>
      </c>
      <c r="W81">
        <v>0.37509228161173785</v>
      </c>
      <c r="X81">
        <v>-1.0241543866519316</v>
      </c>
      <c r="AC81" t="e">
        <f t="shared" si="8"/>
        <v>#N/A</v>
      </c>
      <c r="AD81">
        <f t="shared" si="8"/>
        <v>-1.0241543866519316</v>
      </c>
      <c r="AE81" t="e">
        <f t="shared" si="8"/>
        <v>#N/A</v>
      </c>
      <c r="AG81">
        <f t="shared" si="9"/>
        <v>-1.0241543866519316</v>
      </c>
      <c r="AH81" t="e">
        <f t="shared" si="9"/>
        <v>#N/A</v>
      </c>
      <c r="AI81" t="e">
        <f t="shared" si="9"/>
        <v>#N/A</v>
      </c>
    </row>
    <row r="82" spans="1:35" x14ac:dyDescent="0.25">
      <c r="A82" t="s">
        <v>15</v>
      </c>
      <c r="B82">
        <v>12</v>
      </c>
      <c r="C82">
        <v>0.92</v>
      </c>
      <c r="D82">
        <v>2</v>
      </c>
      <c r="E82">
        <v>19</v>
      </c>
      <c r="F82">
        <v>86</v>
      </c>
      <c r="G82">
        <v>2.42</v>
      </c>
      <c r="H82">
        <v>2.2599999999999998</v>
      </c>
      <c r="I82">
        <v>0.3</v>
      </c>
      <c r="J82">
        <v>1.43</v>
      </c>
      <c r="K82">
        <v>2.5</v>
      </c>
      <c r="L82">
        <v>1.38</v>
      </c>
      <c r="M82">
        <v>3.12</v>
      </c>
      <c r="N82">
        <v>278</v>
      </c>
      <c r="P82">
        <v>1</v>
      </c>
      <c r="Q82">
        <v>1</v>
      </c>
      <c r="W82">
        <v>0.75992026021272374</v>
      </c>
      <c r="X82">
        <v>-3.3655599689152336</v>
      </c>
      <c r="AC82" t="e">
        <f t="shared" si="8"/>
        <v>#N/A</v>
      </c>
      <c r="AD82">
        <f t="shared" si="8"/>
        <v>-3.3655599689152336</v>
      </c>
      <c r="AE82" t="e">
        <f t="shared" si="8"/>
        <v>#N/A</v>
      </c>
      <c r="AG82">
        <f t="shared" si="9"/>
        <v>-3.3655599689152336</v>
      </c>
      <c r="AH82" t="e">
        <f t="shared" si="9"/>
        <v>#N/A</v>
      </c>
      <c r="AI82" t="e">
        <f t="shared" si="9"/>
        <v>#N/A</v>
      </c>
    </row>
    <row r="83" spans="1:35" x14ac:dyDescent="0.25">
      <c r="A83" t="s">
        <v>15</v>
      </c>
      <c r="B83">
        <v>12.72</v>
      </c>
      <c r="C83">
        <v>1.81</v>
      </c>
      <c r="D83">
        <v>2.2000000000000002</v>
      </c>
      <c r="E83">
        <v>18.8</v>
      </c>
      <c r="F83">
        <v>86</v>
      </c>
      <c r="G83">
        <v>2.2000000000000002</v>
      </c>
      <c r="H83">
        <v>2.5299999999999998</v>
      </c>
      <c r="I83">
        <v>0.26</v>
      </c>
      <c r="J83">
        <v>1.77</v>
      </c>
      <c r="K83">
        <v>3.9</v>
      </c>
      <c r="L83">
        <v>1.1599999999999999</v>
      </c>
      <c r="M83">
        <v>3.14</v>
      </c>
      <c r="N83">
        <v>714</v>
      </c>
      <c r="P83">
        <v>1</v>
      </c>
      <c r="Q83">
        <v>1</v>
      </c>
      <c r="W83">
        <v>1.0316677561503917</v>
      </c>
      <c r="X83">
        <v>-1.4466289714125637</v>
      </c>
      <c r="AC83" t="e">
        <f t="shared" si="8"/>
        <v>#N/A</v>
      </c>
      <c r="AD83">
        <f t="shared" si="8"/>
        <v>-1.4466289714125637</v>
      </c>
      <c r="AE83" t="e">
        <f t="shared" si="8"/>
        <v>#N/A</v>
      </c>
      <c r="AG83">
        <f t="shared" si="9"/>
        <v>-1.4466289714125637</v>
      </c>
      <c r="AH83" t="e">
        <f t="shared" si="9"/>
        <v>#N/A</v>
      </c>
      <c r="AI83" t="e">
        <f t="shared" si="9"/>
        <v>#N/A</v>
      </c>
    </row>
    <row r="84" spans="1:35" x14ac:dyDescent="0.25">
      <c r="A84" t="s">
        <v>15</v>
      </c>
      <c r="B84">
        <v>12.08</v>
      </c>
      <c r="C84">
        <v>1.1299999999999999</v>
      </c>
      <c r="D84">
        <v>2.5099999999999998</v>
      </c>
      <c r="E84">
        <v>24</v>
      </c>
      <c r="F84">
        <v>78</v>
      </c>
      <c r="G84">
        <v>2</v>
      </c>
      <c r="H84">
        <v>1.58</v>
      </c>
      <c r="I84">
        <v>0.4</v>
      </c>
      <c r="J84">
        <v>1.4</v>
      </c>
      <c r="K84">
        <v>2.2000000000000002</v>
      </c>
      <c r="L84">
        <v>1.31</v>
      </c>
      <c r="M84">
        <v>2.72</v>
      </c>
      <c r="N84">
        <v>630</v>
      </c>
      <c r="P84">
        <v>1</v>
      </c>
      <c r="Q84">
        <v>1</v>
      </c>
      <c r="W84">
        <v>-0.49348469453526111</v>
      </c>
      <c r="X84">
        <v>-2.3745452195842813</v>
      </c>
      <c r="AC84" t="e">
        <f t="shared" si="8"/>
        <v>#N/A</v>
      </c>
      <c r="AD84">
        <f t="shared" si="8"/>
        <v>-2.3745452195842813</v>
      </c>
      <c r="AE84" t="e">
        <f t="shared" si="8"/>
        <v>#N/A</v>
      </c>
      <c r="AG84">
        <f t="shared" si="9"/>
        <v>-2.3745452195842813</v>
      </c>
      <c r="AH84" t="e">
        <f t="shared" si="9"/>
        <v>#N/A</v>
      </c>
      <c r="AI84" t="e">
        <f t="shared" si="9"/>
        <v>#N/A</v>
      </c>
    </row>
    <row r="85" spans="1:35" x14ac:dyDescent="0.25">
      <c r="A85" t="s">
        <v>15</v>
      </c>
      <c r="B85">
        <v>13.05</v>
      </c>
      <c r="C85">
        <v>3.86</v>
      </c>
      <c r="D85">
        <v>2.3199999999999998</v>
      </c>
      <c r="E85">
        <v>22.5</v>
      </c>
      <c r="F85">
        <v>85</v>
      </c>
      <c r="G85">
        <v>1.65</v>
      </c>
      <c r="H85">
        <v>1.59</v>
      </c>
      <c r="I85">
        <v>0.61</v>
      </c>
      <c r="J85">
        <v>1.62</v>
      </c>
      <c r="K85">
        <v>4.8</v>
      </c>
      <c r="L85">
        <v>0.84</v>
      </c>
      <c r="M85">
        <v>2.0099999999999998</v>
      </c>
      <c r="N85">
        <v>515</v>
      </c>
      <c r="P85">
        <v>3</v>
      </c>
      <c r="Q85">
        <v>3</v>
      </c>
      <c r="W85">
        <v>-2.5318350811679311</v>
      </c>
      <c r="X85">
        <v>-8.7197384103187614E-2</v>
      </c>
      <c r="AC85" t="e">
        <f t="shared" si="8"/>
        <v>#N/A</v>
      </c>
      <c r="AD85">
        <f t="shared" si="8"/>
        <v>-8.7197384103187614E-2</v>
      </c>
      <c r="AE85" t="e">
        <f t="shared" si="8"/>
        <v>#N/A</v>
      </c>
      <c r="AG85" t="e">
        <f t="shared" si="9"/>
        <v>#N/A</v>
      </c>
      <c r="AH85" t="e">
        <f t="shared" si="9"/>
        <v>#N/A</v>
      </c>
      <c r="AI85">
        <f t="shared" si="9"/>
        <v>-8.7197384103187614E-2</v>
      </c>
    </row>
    <row r="86" spans="1:35" x14ac:dyDescent="0.25">
      <c r="A86" t="s">
        <v>15</v>
      </c>
      <c r="B86">
        <v>11.84</v>
      </c>
      <c r="C86">
        <v>0.89</v>
      </c>
      <c r="D86">
        <v>2.58</v>
      </c>
      <c r="E86">
        <v>18</v>
      </c>
      <c r="F86">
        <v>94</v>
      </c>
      <c r="G86">
        <v>2.2000000000000002</v>
      </c>
      <c r="H86">
        <v>2.21</v>
      </c>
      <c r="I86">
        <v>0.22</v>
      </c>
      <c r="J86">
        <v>2.35</v>
      </c>
      <c r="K86">
        <v>3.05</v>
      </c>
      <c r="L86">
        <v>0.79</v>
      </c>
      <c r="M86">
        <v>3.08</v>
      </c>
      <c r="N86">
        <v>520</v>
      </c>
      <c r="P86">
        <v>1</v>
      </c>
      <c r="Q86">
        <v>1</v>
      </c>
      <c r="W86">
        <v>0.83297043565977913</v>
      </c>
      <c r="X86">
        <v>-1.4695251969370871</v>
      </c>
      <c r="AC86" t="e">
        <f t="shared" si="8"/>
        <v>#N/A</v>
      </c>
      <c r="AD86">
        <f t="shared" si="8"/>
        <v>-1.4695251969370871</v>
      </c>
      <c r="AE86" t="e">
        <f t="shared" si="8"/>
        <v>#N/A</v>
      </c>
      <c r="AG86">
        <f t="shared" si="9"/>
        <v>-1.4695251969370871</v>
      </c>
      <c r="AH86" t="e">
        <f t="shared" si="9"/>
        <v>#N/A</v>
      </c>
      <c r="AI86" t="e">
        <f t="shared" si="9"/>
        <v>#N/A</v>
      </c>
    </row>
    <row r="87" spans="1:35" x14ac:dyDescent="0.25">
      <c r="A87" t="s">
        <v>15</v>
      </c>
      <c r="B87">
        <v>12.67</v>
      </c>
      <c r="C87">
        <v>0.98</v>
      </c>
      <c r="D87">
        <v>2.2400000000000002</v>
      </c>
      <c r="E87">
        <v>18</v>
      </c>
      <c r="F87">
        <v>99</v>
      </c>
      <c r="G87">
        <v>2.2000000000000002</v>
      </c>
      <c r="H87">
        <v>1.94</v>
      </c>
      <c r="I87">
        <v>0.3</v>
      </c>
      <c r="J87">
        <v>1.46</v>
      </c>
      <c r="K87">
        <v>2.62</v>
      </c>
      <c r="L87">
        <v>1.23</v>
      </c>
      <c r="M87">
        <v>3.16</v>
      </c>
      <c r="N87">
        <v>450</v>
      </c>
      <c r="P87">
        <v>1</v>
      </c>
      <c r="Q87">
        <v>1</v>
      </c>
      <c r="W87">
        <v>0.7856882825631446</v>
      </c>
      <c r="X87">
        <v>-2.0209257332728248</v>
      </c>
      <c r="AC87" t="e">
        <f t="shared" si="8"/>
        <v>#N/A</v>
      </c>
      <c r="AD87">
        <f t="shared" si="8"/>
        <v>-2.0209257332728248</v>
      </c>
      <c r="AE87" t="e">
        <f t="shared" si="8"/>
        <v>#N/A</v>
      </c>
      <c r="AG87">
        <f t="shared" si="9"/>
        <v>-2.0209257332728248</v>
      </c>
      <c r="AH87" t="e">
        <f t="shared" si="9"/>
        <v>#N/A</v>
      </c>
      <c r="AI87" t="e">
        <f t="shared" si="9"/>
        <v>#N/A</v>
      </c>
    </row>
    <row r="88" spans="1:35" x14ac:dyDescent="0.25">
      <c r="A88" t="s">
        <v>15</v>
      </c>
      <c r="B88">
        <v>12.16</v>
      </c>
      <c r="C88">
        <v>1.61</v>
      </c>
      <c r="D88">
        <v>2.31</v>
      </c>
      <c r="E88">
        <v>22.8</v>
      </c>
      <c r="F88">
        <v>90</v>
      </c>
      <c r="G88">
        <v>1.78</v>
      </c>
      <c r="H88">
        <v>1.69</v>
      </c>
      <c r="I88">
        <v>0.43</v>
      </c>
      <c r="J88">
        <v>1.56</v>
      </c>
      <c r="K88">
        <v>2.4500000000000002</v>
      </c>
      <c r="L88">
        <v>1.33</v>
      </c>
      <c r="M88">
        <v>2.2599999999999998</v>
      </c>
      <c r="N88">
        <v>495</v>
      </c>
      <c r="P88">
        <v>1</v>
      </c>
      <c r="Q88">
        <v>1</v>
      </c>
      <c r="W88">
        <v>-0.80456258139475745</v>
      </c>
      <c r="X88">
        <v>-2.2275467485789111</v>
      </c>
      <c r="AC88" t="e">
        <f t="shared" si="8"/>
        <v>#N/A</v>
      </c>
      <c r="AD88">
        <f t="shared" si="8"/>
        <v>-2.2275467485789111</v>
      </c>
      <c r="AE88" t="e">
        <f t="shared" si="8"/>
        <v>#N/A</v>
      </c>
      <c r="AG88">
        <f t="shared" si="9"/>
        <v>-2.2275467485789111</v>
      </c>
      <c r="AH88" t="e">
        <f t="shared" si="9"/>
        <v>#N/A</v>
      </c>
      <c r="AI88" t="e">
        <f t="shared" si="9"/>
        <v>#N/A</v>
      </c>
    </row>
    <row r="89" spans="1:35" x14ac:dyDescent="0.25">
      <c r="A89" t="s">
        <v>15</v>
      </c>
      <c r="B89">
        <v>11.65</v>
      </c>
      <c r="C89">
        <v>1.67</v>
      </c>
      <c r="D89">
        <v>2.62</v>
      </c>
      <c r="E89">
        <v>26</v>
      </c>
      <c r="F89">
        <v>88</v>
      </c>
      <c r="G89">
        <v>1.92</v>
      </c>
      <c r="H89">
        <v>1.61</v>
      </c>
      <c r="I89">
        <v>0.4</v>
      </c>
      <c r="J89">
        <v>1.34</v>
      </c>
      <c r="K89">
        <v>2.6</v>
      </c>
      <c r="L89">
        <v>1.36</v>
      </c>
      <c r="M89">
        <v>3.21</v>
      </c>
      <c r="N89">
        <v>562</v>
      </c>
      <c r="P89">
        <v>1</v>
      </c>
      <c r="Q89">
        <v>1</v>
      </c>
      <c r="W89">
        <v>-0.55647288160824537</v>
      </c>
      <c r="X89">
        <v>-2.3663103511493806</v>
      </c>
      <c r="AC89" t="e">
        <f t="shared" si="8"/>
        <v>#N/A</v>
      </c>
      <c r="AD89">
        <f t="shared" si="8"/>
        <v>-2.3663103511493806</v>
      </c>
      <c r="AE89" t="e">
        <f t="shared" si="8"/>
        <v>#N/A</v>
      </c>
      <c r="AG89">
        <f t="shared" si="9"/>
        <v>-2.3663103511493806</v>
      </c>
      <c r="AH89" t="e">
        <f t="shared" si="9"/>
        <v>#N/A</v>
      </c>
      <c r="AI89" t="e">
        <f t="shared" si="9"/>
        <v>#N/A</v>
      </c>
    </row>
    <row r="90" spans="1:35" x14ac:dyDescent="0.25">
      <c r="A90" t="s">
        <v>15</v>
      </c>
      <c r="B90">
        <v>11.64</v>
      </c>
      <c r="C90">
        <v>2.06</v>
      </c>
      <c r="D90">
        <v>2.46</v>
      </c>
      <c r="E90">
        <v>21.6</v>
      </c>
      <c r="F90">
        <v>84</v>
      </c>
      <c r="G90">
        <v>1.95</v>
      </c>
      <c r="H90">
        <v>1.69</v>
      </c>
      <c r="I90">
        <v>0.48</v>
      </c>
      <c r="J90">
        <v>1.35</v>
      </c>
      <c r="K90">
        <v>2.8</v>
      </c>
      <c r="L90">
        <v>1</v>
      </c>
      <c r="M90">
        <v>2.75</v>
      </c>
      <c r="N90">
        <v>680</v>
      </c>
      <c r="P90">
        <v>1</v>
      </c>
      <c r="Q90">
        <v>1</v>
      </c>
      <c r="W90">
        <v>-1.1119742957951213</v>
      </c>
      <c r="X90">
        <v>-1.7971775694199632</v>
      </c>
      <c r="AC90" t="e">
        <f t="shared" si="8"/>
        <v>#N/A</v>
      </c>
      <c r="AD90">
        <f t="shared" si="8"/>
        <v>-1.7971775694199632</v>
      </c>
      <c r="AE90" t="e">
        <f t="shared" si="8"/>
        <v>#N/A</v>
      </c>
      <c r="AG90">
        <f t="shared" si="9"/>
        <v>-1.7971775694199632</v>
      </c>
      <c r="AH90" t="e">
        <f t="shared" si="9"/>
        <v>#N/A</v>
      </c>
      <c r="AI90" t="e">
        <f t="shared" si="9"/>
        <v>#N/A</v>
      </c>
    </row>
    <row r="91" spans="1:35" x14ac:dyDescent="0.25">
      <c r="A91" t="s">
        <v>15</v>
      </c>
      <c r="B91">
        <v>12.08</v>
      </c>
      <c r="C91">
        <v>1.33</v>
      </c>
      <c r="D91">
        <v>2.2999999999999998</v>
      </c>
      <c r="E91">
        <v>23.6</v>
      </c>
      <c r="F91">
        <v>70</v>
      </c>
      <c r="G91">
        <v>2.2000000000000002</v>
      </c>
      <c r="H91">
        <v>1.59</v>
      </c>
      <c r="I91">
        <v>0.42</v>
      </c>
      <c r="J91">
        <v>1.38</v>
      </c>
      <c r="K91">
        <v>1.74</v>
      </c>
      <c r="L91">
        <v>1.07</v>
      </c>
      <c r="M91">
        <v>3.21</v>
      </c>
      <c r="N91">
        <v>625</v>
      </c>
      <c r="P91">
        <v>1</v>
      </c>
      <c r="Q91">
        <v>1</v>
      </c>
      <c r="W91">
        <v>-0.55415961216904075</v>
      </c>
      <c r="X91">
        <v>-2.6500645213919656</v>
      </c>
      <c r="AC91" t="e">
        <f t="shared" si="8"/>
        <v>#N/A</v>
      </c>
      <c r="AD91">
        <f t="shared" si="8"/>
        <v>-2.6500645213919656</v>
      </c>
      <c r="AE91" t="e">
        <f t="shared" si="8"/>
        <v>#N/A</v>
      </c>
      <c r="AG91">
        <f t="shared" si="9"/>
        <v>-2.6500645213919656</v>
      </c>
      <c r="AH91" t="e">
        <f t="shared" si="9"/>
        <v>#N/A</v>
      </c>
      <c r="AI91" t="e">
        <f t="shared" si="9"/>
        <v>#N/A</v>
      </c>
    </row>
    <row r="92" spans="1:35" x14ac:dyDescent="0.25">
      <c r="A92" t="s">
        <v>15</v>
      </c>
      <c r="B92">
        <v>12.08</v>
      </c>
      <c r="C92">
        <v>1.83</v>
      </c>
      <c r="D92">
        <v>2.3199999999999998</v>
      </c>
      <c r="E92">
        <v>18.5</v>
      </c>
      <c r="F92">
        <v>81</v>
      </c>
      <c r="G92">
        <v>1.6</v>
      </c>
      <c r="H92">
        <v>1.5</v>
      </c>
      <c r="I92">
        <v>0.52</v>
      </c>
      <c r="J92">
        <v>1.64</v>
      </c>
      <c r="K92">
        <v>2.4</v>
      </c>
      <c r="L92">
        <v>1.08</v>
      </c>
      <c r="M92">
        <v>2.27</v>
      </c>
      <c r="N92">
        <v>480</v>
      </c>
      <c r="P92">
        <v>1</v>
      </c>
      <c r="Q92">
        <v>1</v>
      </c>
      <c r="W92">
        <v>-1.3454898170349163</v>
      </c>
      <c r="X92">
        <v>-2.1120436480881875</v>
      </c>
      <c r="AC92" t="e">
        <f t="shared" si="8"/>
        <v>#N/A</v>
      </c>
      <c r="AD92">
        <f t="shared" si="8"/>
        <v>-2.1120436480881875</v>
      </c>
      <c r="AE92" t="e">
        <f t="shared" si="8"/>
        <v>#N/A</v>
      </c>
      <c r="AG92">
        <f t="shared" si="9"/>
        <v>-2.1120436480881875</v>
      </c>
      <c r="AH92" t="e">
        <f t="shared" si="9"/>
        <v>#N/A</v>
      </c>
      <c r="AI92" t="e">
        <f t="shared" si="9"/>
        <v>#N/A</v>
      </c>
    </row>
    <row r="93" spans="1:35" x14ac:dyDescent="0.25">
      <c r="A93" t="s">
        <v>15</v>
      </c>
      <c r="B93">
        <v>12</v>
      </c>
      <c r="C93">
        <v>1.51</v>
      </c>
      <c r="D93">
        <v>2.42</v>
      </c>
      <c r="E93">
        <v>22</v>
      </c>
      <c r="F93">
        <v>86</v>
      </c>
      <c r="G93">
        <v>1.45</v>
      </c>
      <c r="H93">
        <v>1.25</v>
      </c>
      <c r="I93">
        <v>0.5</v>
      </c>
      <c r="J93">
        <v>1.63</v>
      </c>
      <c r="K93">
        <v>3.6</v>
      </c>
      <c r="L93">
        <v>1.05</v>
      </c>
      <c r="M93">
        <v>2.65</v>
      </c>
      <c r="N93">
        <v>450</v>
      </c>
      <c r="P93">
        <v>1</v>
      </c>
      <c r="Q93">
        <v>1</v>
      </c>
      <c r="W93">
        <v>-1.5600818020716078</v>
      </c>
      <c r="X93">
        <v>-1.8470043440721802</v>
      </c>
      <c r="AC93" t="e">
        <f t="shared" si="8"/>
        <v>#N/A</v>
      </c>
      <c r="AD93">
        <f t="shared" si="8"/>
        <v>-1.8470043440721802</v>
      </c>
      <c r="AE93" t="e">
        <f t="shared" si="8"/>
        <v>#N/A</v>
      </c>
      <c r="AG93">
        <f t="shared" si="9"/>
        <v>-1.8470043440721802</v>
      </c>
      <c r="AH93" t="e">
        <f t="shared" si="9"/>
        <v>#N/A</v>
      </c>
      <c r="AI93" t="e">
        <f t="shared" si="9"/>
        <v>#N/A</v>
      </c>
    </row>
    <row r="94" spans="1:35" x14ac:dyDescent="0.25">
      <c r="A94" t="s">
        <v>15</v>
      </c>
      <c r="B94">
        <v>12.69</v>
      </c>
      <c r="C94">
        <v>1.53</v>
      </c>
      <c r="D94">
        <v>2.2599999999999998</v>
      </c>
      <c r="E94">
        <v>20.7</v>
      </c>
      <c r="F94">
        <v>80</v>
      </c>
      <c r="G94">
        <v>1.38</v>
      </c>
      <c r="H94">
        <v>1.46</v>
      </c>
      <c r="I94">
        <v>0.57999999999999996</v>
      </c>
      <c r="J94">
        <v>1.62</v>
      </c>
      <c r="K94">
        <v>3.05</v>
      </c>
      <c r="L94">
        <v>0.96</v>
      </c>
      <c r="M94">
        <v>2.06</v>
      </c>
      <c r="N94">
        <v>495</v>
      </c>
      <c r="P94">
        <v>1</v>
      </c>
      <c r="Q94">
        <v>1</v>
      </c>
      <c r="W94">
        <v>-1.9271194378349707</v>
      </c>
      <c r="X94">
        <v>-1.5551086819704145</v>
      </c>
      <c r="AC94" t="e">
        <f t="shared" si="8"/>
        <v>#N/A</v>
      </c>
      <c r="AD94">
        <f t="shared" si="8"/>
        <v>-1.5551086819704145</v>
      </c>
      <c r="AE94" t="e">
        <f t="shared" si="8"/>
        <v>#N/A</v>
      </c>
      <c r="AG94">
        <f t="shared" si="9"/>
        <v>-1.5551086819704145</v>
      </c>
      <c r="AH94" t="e">
        <f t="shared" si="9"/>
        <v>#N/A</v>
      </c>
      <c r="AI94" t="e">
        <f t="shared" si="9"/>
        <v>#N/A</v>
      </c>
    </row>
    <row r="95" spans="1:35" x14ac:dyDescent="0.25">
      <c r="A95" t="s">
        <v>15</v>
      </c>
      <c r="B95">
        <v>12.29</v>
      </c>
      <c r="C95">
        <v>2.83</v>
      </c>
      <c r="D95">
        <v>2.2200000000000002</v>
      </c>
      <c r="E95">
        <v>18</v>
      </c>
      <c r="F95">
        <v>88</v>
      </c>
      <c r="G95">
        <v>2.4500000000000002</v>
      </c>
      <c r="H95">
        <v>2.25</v>
      </c>
      <c r="I95">
        <v>0.25</v>
      </c>
      <c r="J95">
        <v>1.99</v>
      </c>
      <c r="K95">
        <v>2.15</v>
      </c>
      <c r="L95">
        <v>1.1499999999999999</v>
      </c>
      <c r="M95">
        <v>3.3</v>
      </c>
      <c r="N95">
        <v>290</v>
      </c>
      <c r="P95">
        <v>1</v>
      </c>
      <c r="Q95">
        <v>1</v>
      </c>
      <c r="W95">
        <v>0.74456561170444835</v>
      </c>
      <c r="X95">
        <v>-2.3064255592556724</v>
      </c>
      <c r="AC95" t="e">
        <f t="shared" si="8"/>
        <v>#N/A</v>
      </c>
      <c r="AD95">
        <f t="shared" si="8"/>
        <v>-2.3064255592556724</v>
      </c>
      <c r="AE95" t="e">
        <f t="shared" si="8"/>
        <v>#N/A</v>
      </c>
      <c r="AG95">
        <f t="shared" si="9"/>
        <v>-2.3064255592556724</v>
      </c>
      <c r="AH95" t="e">
        <f t="shared" si="9"/>
        <v>#N/A</v>
      </c>
      <c r="AI95" t="e">
        <f t="shared" si="9"/>
        <v>#N/A</v>
      </c>
    </row>
    <row r="96" spans="1:35" x14ac:dyDescent="0.25">
      <c r="A96" t="s">
        <v>15</v>
      </c>
      <c r="B96">
        <v>11.62</v>
      </c>
      <c r="C96">
        <v>1.99</v>
      </c>
      <c r="D96">
        <v>2.2799999999999998</v>
      </c>
      <c r="E96">
        <v>18</v>
      </c>
      <c r="F96">
        <v>98</v>
      </c>
      <c r="G96">
        <v>3.02</v>
      </c>
      <c r="H96">
        <v>2.2599999999999998</v>
      </c>
      <c r="I96">
        <v>0.17</v>
      </c>
      <c r="J96">
        <v>1.35</v>
      </c>
      <c r="K96">
        <v>3.25</v>
      </c>
      <c r="L96">
        <v>1.1599999999999999</v>
      </c>
      <c r="M96">
        <v>2.96</v>
      </c>
      <c r="N96">
        <v>345</v>
      </c>
      <c r="P96">
        <v>1</v>
      </c>
      <c r="Q96">
        <v>1</v>
      </c>
      <c r="W96">
        <v>0.95476209448294957</v>
      </c>
      <c r="X96">
        <v>-2.2172737711640278</v>
      </c>
      <c r="AC96" t="e">
        <f t="shared" si="8"/>
        <v>#N/A</v>
      </c>
      <c r="AD96">
        <f t="shared" si="8"/>
        <v>-2.2172737711640278</v>
      </c>
      <c r="AE96" t="e">
        <f t="shared" si="8"/>
        <v>#N/A</v>
      </c>
      <c r="AG96">
        <f t="shared" si="9"/>
        <v>-2.2172737711640278</v>
      </c>
      <c r="AH96" t="e">
        <f t="shared" si="9"/>
        <v>#N/A</v>
      </c>
      <c r="AI96" t="e">
        <f t="shared" si="9"/>
        <v>#N/A</v>
      </c>
    </row>
    <row r="97" spans="1:35" x14ac:dyDescent="0.25">
      <c r="A97" t="s">
        <v>15</v>
      </c>
      <c r="B97">
        <v>12.47</v>
      </c>
      <c r="C97">
        <v>1.52</v>
      </c>
      <c r="D97">
        <v>2.2000000000000002</v>
      </c>
      <c r="E97">
        <v>19</v>
      </c>
      <c r="F97">
        <v>162</v>
      </c>
      <c r="G97">
        <v>2.5</v>
      </c>
      <c r="H97">
        <v>2.27</v>
      </c>
      <c r="I97">
        <v>0.32</v>
      </c>
      <c r="J97">
        <v>3.28</v>
      </c>
      <c r="K97">
        <v>2.6</v>
      </c>
      <c r="L97">
        <v>1.1599999999999999</v>
      </c>
      <c r="M97">
        <v>2.63</v>
      </c>
      <c r="N97">
        <v>937</v>
      </c>
      <c r="P97">
        <v>1</v>
      </c>
      <c r="Q97">
        <v>1</v>
      </c>
      <c r="W97">
        <v>2.5367094310900384</v>
      </c>
      <c r="X97">
        <v>0.16879786495814619</v>
      </c>
      <c r="AC97" t="e">
        <f t="shared" si="8"/>
        <v>#N/A</v>
      </c>
      <c r="AD97">
        <f t="shared" si="8"/>
        <v>0.16879786495814619</v>
      </c>
      <c r="AE97" t="e">
        <f t="shared" si="8"/>
        <v>#N/A</v>
      </c>
      <c r="AG97">
        <f t="shared" si="9"/>
        <v>0.16879786495814619</v>
      </c>
      <c r="AH97" t="e">
        <f t="shared" si="9"/>
        <v>#N/A</v>
      </c>
      <c r="AI97" t="e">
        <f t="shared" si="9"/>
        <v>#N/A</v>
      </c>
    </row>
    <row r="98" spans="1:35" x14ac:dyDescent="0.25">
      <c r="A98" t="s">
        <v>15</v>
      </c>
      <c r="B98">
        <v>11.81</v>
      </c>
      <c r="C98">
        <v>2.12</v>
      </c>
      <c r="D98">
        <v>2.74</v>
      </c>
      <c r="E98">
        <v>21.5</v>
      </c>
      <c r="F98">
        <v>134</v>
      </c>
      <c r="G98">
        <v>1.6</v>
      </c>
      <c r="H98">
        <v>0.99</v>
      </c>
      <c r="I98">
        <v>0.14000000000000001</v>
      </c>
      <c r="J98">
        <v>1.56</v>
      </c>
      <c r="K98">
        <v>2.5</v>
      </c>
      <c r="L98">
        <v>0.95</v>
      </c>
      <c r="M98">
        <v>2.2599999999999998</v>
      </c>
      <c r="N98">
        <v>625</v>
      </c>
      <c r="P98">
        <v>1</v>
      </c>
      <c r="Q98">
        <v>1</v>
      </c>
      <c r="W98">
        <v>-0.54242248001249938</v>
      </c>
      <c r="X98">
        <v>-0.36788877516647089</v>
      </c>
      <c r="AC98" t="e">
        <f t="shared" si="8"/>
        <v>#N/A</v>
      </c>
      <c r="AD98">
        <f t="shared" si="8"/>
        <v>-0.36788877516647089</v>
      </c>
      <c r="AE98" t="e">
        <f t="shared" si="8"/>
        <v>#N/A</v>
      </c>
      <c r="AG98">
        <f t="shared" si="9"/>
        <v>-0.36788877516647089</v>
      </c>
      <c r="AH98" t="e">
        <f t="shared" si="9"/>
        <v>#N/A</v>
      </c>
      <c r="AI98" t="e">
        <f t="shared" si="9"/>
        <v>#N/A</v>
      </c>
    </row>
    <row r="99" spans="1:35" x14ac:dyDescent="0.25">
      <c r="A99" t="s">
        <v>15</v>
      </c>
      <c r="B99">
        <v>12.29</v>
      </c>
      <c r="C99">
        <v>1.41</v>
      </c>
      <c r="D99">
        <v>1.98</v>
      </c>
      <c r="E99">
        <v>16</v>
      </c>
      <c r="F99">
        <v>85</v>
      </c>
      <c r="G99">
        <v>2.5499999999999998</v>
      </c>
      <c r="H99">
        <v>2.5</v>
      </c>
      <c r="I99">
        <v>0.28999999999999998</v>
      </c>
      <c r="J99">
        <v>1.77</v>
      </c>
      <c r="K99">
        <v>2.9</v>
      </c>
      <c r="L99">
        <v>1.23</v>
      </c>
      <c r="M99">
        <v>2.74</v>
      </c>
      <c r="N99">
        <v>428</v>
      </c>
      <c r="P99">
        <v>1</v>
      </c>
      <c r="Q99">
        <v>1</v>
      </c>
      <c r="W99">
        <v>1.0281494640775557</v>
      </c>
      <c r="X99">
        <v>-2.558352543055344</v>
      </c>
      <c r="AC99" t="e">
        <f t="shared" ref="AC99:AE130" si="10">IF($A99=AC$1,$X99,NA())</f>
        <v>#N/A</v>
      </c>
      <c r="AD99">
        <f t="shared" si="10"/>
        <v>-2.558352543055344</v>
      </c>
      <c r="AE99" t="e">
        <f t="shared" si="10"/>
        <v>#N/A</v>
      </c>
      <c r="AG99">
        <f t="shared" ref="AG99:AI130" si="11">IF($P99=AG$1,$X99,NA())</f>
        <v>-2.558352543055344</v>
      </c>
      <c r="AH99" t="e">
        <f t="shared" si="11"/>
        <v>#N/A</v>
      </c>
      <c r="AI99" t="e">
        <f t="shared" si="11"/>
        <v>#N/A</v>
      </c>
    </row>
    <row r="100" spans="1:35" x14ac:dyDescent="0.25">
      <c r="A100" t="s">
        <v>15</v>
      </c>
      <c r="B100">
        <v>12.37</v>
      </c>
      <c r="C100">
        <v>1.07</v>
      </c>
      <c r="D100">
        <v>2.1</v>
      </c>
      <c r="E100">
        <v>18.5</v>
      </c>
      <c r="F100">
        <v>88</v>
      </c>
      <c r="G100">
        <v>3.52</v>
      </c>
      <c r="H100">
        <v>3.75</v>
      </c>
      <c r="I100">
        <v>0.24</v>
      </c>
      <c r="J100">
        <v>1.95</v>
      </c>
      <c r="K100">
        <v>4.5</v>
      </c>
      <c r="L100">
        <v>1.04</v>
      </c>
      <c r="M100">
        <v>2.77</v>
      </c>
      <c r="N100">
        <v>660</v>
      </c>
      <c r="P100">
        <v>1</v>
      </c>
      <c r="Q100">
        <v>1</v>
      </c>
      <c r="W100">
        <v>2.245574924622201</v>
      </c>
      <c r="X100">
        <v>-1.4287111576129672</v>
      </c>
      <c r="AC100" t="e">
        <f t="shared" si="10"/>
        <v>#N/A</v>
      </c>
      <c r="AD100">
        <f t="shared" si="10"/>
        <v>-1.4287111576129672</v>
      </c>
      <c r="AE100" t="e">
        <f t="shared" si="10"/>
        <v>#N/A</v>
      </c>
      <c r="AG100">
        <f t="shared" si="11"/>
        <v>-1.4287111576129672</v>
      </c>
      <c r="AH100" t="e">
        <f t="shared" si="11"/>
        <v>#N/A</v>
      </c>
      <c r="AI100" t="e">
        <f t="shared" si="11"/>
        <v>#N/A</v>
      </c>
    </row>
    <row r="101" spans="1:35" x14ac:dyDescent="0.25">
      <c r="A101" t="s">
        <v>15</v>
      </c>
      <c r="B101">
        <v>12.29</v>
      </c>
      <c r="C101">
        <v>3.17</v>
      </c>
      <c r="D101">
        <v>2.21</v>
      </c>
      <c r="E101">
        <v>18</v>
      </c>
      <c r="F101">
        <v>88</v>
      </c>
      <c r="G101">
        <v>2.85</v>
      </c>
      <c r="H101">
        <v>2.99</v>
      </c>
      <c r="I101">
        <v>0.45</v>
      </c>
      <c r="J101">
        <v>2.81</v>
      </c>
      <c r="K101">
        <v>2.2999999999999998</v>
      </c>
      <c r="L101">
        <v>1.42</v>
      </c>
      <c r="M101">
        <v>2.83</v>
      </c>
      <c r="N101">
        <v>406</v>
      </c>
      <c r="P101">
        <v>1</v>
      </c>
      <c r="Q101">
        <v>1</v>
      </c>
      <c r="W101">
        <v>1.4062491551587533</v>
      </c>
      <c r="X101">
        <v>-2.1600983909400382</v>
      </c>
      <c r="AC101" t="e">
        <f t="shared" si="10"/>
        <v>#N/A</v>
      </c>
      <c r="AD101">
        <f t="shared" si="10"/>
        <v>-2.1600983909400382</v>
      </c>
      <c r="AE101" t="e">
        <f t="shared" si="10"/>
        <v>#N/A</v>
      </c>
      <c r="AG101">
        <f t="shared" si="11"/>
        <v>-2.1600983909400382</v>
      </c>
      <c r="AH101" t="e">
        <f t="shared" si="11"/>
        <v>#N/A</v>
      </c>
      <c r="AI101" t="e">
        <f t="shared" si="11"/>
        <v>#N/A</v>
      </c>
    </row>
    <row r="102" spans="1:35" x14ac:dyDescent="0.25">
      <c r="A102" t="s">
        <v>15</v>
      </c>
      <c r="B102">
        <v>12.08</v>
      </c>
      <c r="C102">
        <v>2.08</v>
      </c>
      <c r="D102">
        <v>1.7</v>
      </c>
      <c r="E102">
        <v>17.5</v>
      </c>
      <c r="F102">
        <v>97</v>
      </c>
      <c r="G102">
        <v>2.23</v>
      </c>
      <c r="H102">
        <v>2.17</v>
      </c>
      <c r="I102">
        <v>0.26</v>
      </c>
      <c r="J102">
        <v>1.4</v>
      </c>
      <c r="K102">
        <v>3.3</v>
      </c>
      <c r="L102">
        <v>1.27</v>
      </c>
      <c r="M102">
        <v>2.96</v>
      </c>
      <c r="N102">
        <v>710</v>
      </c>
      <c r="P102">
        <v>1</v>
      </c>
      <c r="Q102">
        <v>1</v>
      </c>
      <c r="W102">
        <v>0.79547585073739513</v>
      </c>
      <c r="X102">
        <v>-2.3702625764713705</v>
      </c>
      <c r="AC102" t="e">
        <f t="shared" si="10"/>
        <v>#N/A</v>
      </c>
      <c r="AD102">
        <f t="shared" si="10"/>
        <v>-2.3702625764713705</v>
      </c>
      <c r="AE102" t="e">
        <f t="shared" si="10"/>
        <v>#N/A</v>
      </c>
      <c r="AG102">
        <f t="shared" si="11"/>
        <v>-2.3702625764713705</v>
      </c>
      <c r="AH102" t="e">
        <f t="shared" si="11"/>
        <v>#N/A</v>
      </c>
      <c r="AI102" t="e">
        <f t="shared" si="11"/>
        <v>#N/A</v>
      </c>
    </row>
    <row r="103" spans="1:35" x14ac:dyDescent="0.25">
      <c r="A103" t="s">
        <v>15</v>
      </c>
      <c r="B103">
        <v>12.6</v>
      </c>
      <c r="C103">
        <v>1.34</v>
      </c>
      <c r="D103">
        <v>1.9</v>
      </c>
      <c r="E103">
        <v>18.5</v>
      </c>
      <c r="F103">
        <v>88</v>
      </c>
      <c r="G103">
        <v>1.45</v>
      </c>
      <c r="H103">
        <v>1.36</v>
      </c>
      <c r="I103">
        <v>0.28999999999999998</v>
      </c>
      <c r="J103">
        <v>1.35</v>
      </c>
      <c r="K103">
        <v>2.4500000000000002</v>
      </c>
      <c r="L103">
        <v>1.04</v>
      </c>
      <c r="M103">
        <v>2.77</v>
      </c>
      <c r="N103">
        <v>562</v>
      </c>
      <c r="P103">
        <v>1</v>
      </c>
      <c r="Q103">
        <v>1</v>
      </c>
      <c r="W103">
        <v>-0.54798592410069813</v>
      </c>
      <c r="X103">
        <v>-2.2866781981646289</v>
      </c>
      <c r="AC103" t="e">
        <f t="shared" si="10"/>
        <v>#N/A</v>
      </c>
      <c r="AD103">
        <f t="shared" si="10"/>
        <v>-2.2866781981646289</v>
      </c>
      <c r="AE103" t="e">
        <f t="shared" si="10"/>
        <v>#N/A</v>
      </c>
      <c r="AG103">
        <f t="shared" si="11"/>
        <v>-2.2866781981646289</v>
      </c>
      <c r="AH103" t="e">
        <f t="shared" si="11"/>
        <v>#N/A</v>
      </c>
      <c r="AI103" t="e">
        <f t="shared" si="11"/>
        <v>#N/A</v>
      </c>
    </row>
    <row r="104" spans="1:35" x14ac:dyDescent="0.25">
      <c r="A104" t="s">
        <v>15</v>
      </c>
      <c r="B104">
        <v>12.34</v>
      </c>
      <c r="C104">
        <v>2.4500000000000002</v>
      </c>
      <c r="D104">
        <v>2.46</v>
      </c>
      <c r="E104">
        <v>21</v>
      </c>
      <c r="F104">
        <v>98</v>
      </c>
      <c r="G104">
        <v>2.56</v>
      </c>
      <c r="H104">
        <v>2.11</v>
      </c>
      <c r="I104">
        <v>0.34</v>
      </c>
      <c r="J104">
        <v>1.31</v>
      </c>
      <c r="K104">
        <v>2.8</v>
      </c>
      <c r="L104">
        <v>0.8</v>
      </c>
      <c r="M104">
        <v>3.38</v>
      </c>
      <c r="N104">
        <v>438</v>
      </c>
      <c r="P104">
        <v>1</v>
      </c>
      <c r="Q104">
        <v>1</v>
      </c>
      <c r="W104">
        <v>-0.16072036708753701</v>
      </c>
      <c r="X104">
        <v>-1.1612076939308451</v>
      </c>
      <c r="AC104" t="e">
        <f t="shared" si="10"/>
        <v>#N/A</v>
      </c>
      <c r="AD104">
        <f t="shared" si="10"/>
        <v>-1.1612076939308451</v>
      </c>
      <c r="AE104" t="e">
        <f t="shared" si="10"/>
        <v>#N/A</v>
      </c>
      <c r="AG104">
        <f t="shared" si="11"/>
        <v>-1.1612076939308451</v>
      </c>
      <c r="AH104" t="e">
        <f t="shared" si="11"/>
        <v>#N/A</v>
      </c>
      <c r="AI104" t="e">
        <f t="shared" si="11"/>
        <v>#N/A</v>
      </c>
    </row>
    <row r="105" spans="1:35" x14ac:dyDescent="0.25">
      <c r="A105" t="s">
        <v>15</v>
      </c>
      <c r="B105">
        <v>11.82</v>
      </c>
      <c r="C105">
        <v>1.72</v>
      </c>
      <c r="D105">
        <v>1.88</v>
      </c>
      <c r="E105">
        <v>19.5</v>
      </c>
      <c r="F105">
        <v>86</v>
      </c>
      <c r="G105">
        <v>2.5</v>
      </c>
      <c r="H105">
        <v>1.64</v>
      </c>
      <c r="I105">
        <v>0.37</v>
      </c>
      <c r="J105">
        <v>1.42</v>
      </c>
      <c r="K105">
        <v>2.06</v>
      </c>
      <c r="L105">
        <v>0.94</v>
      </c>
      <c r="M105">
        <v>2.44</v>
      </c>
      <c r="N105">
        <v>415</v>
      </c>
      <c r="P105">
        <v>1</v>
      </c>
      <c r="Q105">
        <v>1</v>
      </c>
      <c r="W105">
        <v>-0.65793897473537521</v>
      </c>
      <c r="X105">
        <v>-2.6724226023257609</v>
      </c>
      <c r="AC105" t="e">
        <f t="shared" si="10"/>
        <v>#N/A</v>
      </c>
      <c r="AD105">
        <f t="shared" si="10"/>
        <v>-2.6724226023257609</v>
      </c>
      <c r="AE105" t="e">
        <f t="shared" si="10"/>
        <v>#N/A</v>
      </c>
      <c r="AG105">
        <f t="shared" si="11"/>
        <v>-2.6724226023257609</v>
      </c>
      <c r="AH105" t="e">
        <f t="shared" si="11"/>
        <v>#N/A</v>
      </c>
      <c r="AI105" t="e">
        <f t="shared" si="11"/>
        <v>#N/A</v>
      </c>
    </row>
    <row r="106" spans="1:35" x14ac:dyDescent="0.25">
      <c r="A106" t="s">
        <v>15</v>
      </c>
      <c r="B106">
        <v>12.51</v>
      </c>
      <c r="C106">
        <v>1.73</v>
      </c>
      <c r="D106">
        <v>1.98</v>
      </c>
      <c r="E106">
        <v>20.5</v>
      </c>
      <c r="F106">
        <v>85</v>
      </c>
      <c r="G106">
        <v>2.2000000000000002</v>
      </c>
      <c r="H106">
        <v>1.92</v>
      </c>
      <c r="I106">
        <v>0.32</v>
      </c>
      <c r="J106">
        <v>1.48</v>
      </c>
      <c r="K106">
        <v>2.94</v>
      </c>
      <c r="L106">
        <v>1.04</v>
      </c>
      <c r="M106">
        <v>3.57</v>
      </c>
      <c r="N106">
        <v>672</v>
      </c>
      <c r="P106">
        <v>1</v>
      </c>
      <c r="Q106">
        <v>1</v>
      </c>
      <c r="W106">
        <v>0.39125073674984162</v>
      </c>
      <c r="X106">
        <v>-2.0928280917266768</v>
      </c>
      <c r="AC106" t="e">
        <f t="shared" si="10"/>
        <v>#N/A</v>
      </c>
      <c r="AD106">
        <f t="shared" si="10"/>
        <v>-2.0928280917266768</v>
      </c>
      <c r="AE106" t="e">
        <f t="shared" si="10"/>
        <v>#N/A</v>
      </c>
      <c r="AG106">
        <f t="shared" si="11"/>
        <v>-2.0928280917266768</v>
      </c>
      <c r="AH106" t="e">
        <f t="shared" si="11"/>
        <v>#N/A</v>
      </c>
      <c r="AI106" t="e">
        <f t="shared" si="11"/>
        <v>#N/A</v>
      </c>
    </row>
    <row r="107" spans="1:35" x14ac:dyDescent="0.25">
      <c r="A107" t="s">
        <v>15</v>
      </c>
      <c r="B107">
        <v>12.42</v>
      </c>
      <c r="C107">
        <v>2.5499999999999998</v>
      </c>
      <c r="D107">
        <v>2.27</v>
      </c>
      <c r="E107">
        <v>22</v>
      </c>
      <c r="F107">
        <v>90</v>
      </c>
      <c r="G107">
        <v>1.68</v>
      </c>
      <c r="H107">
        <v>1.84</v>
      </c>
      <c r="I107">
        <v>0.66</v>
      </c>
      <c r="J107">
        <v>1.42</v>
      </c>
      <c r="K107">
        <v>2.7</v>
      </c>
      <c r="L107">
        <v>0.86</v>
      </c>
      <c r="M107">
        <v>3.3</v>
      </c>
      <c r="N107">
        <v>315</v>
      </c>
      <c r="P107">
        <v>1</v>
      </c>
      <c r="Q107">
        <v>1</v>
      </c>
      <c r="W107">
        <v>-1.7675131354248845</v>
      </c>
      <c r="X107">
        <v>-1.712457831408057</v>
      </c>
      <c r="AC107" t="e">
        <f t="shared" si="10"/>
        <v>#N/A</v>
      </c>
      <c r="AD107">
        <f t="shared" si="10"/>
        <v>-1.712457831408057</v>
      </c>
      <c r="AE107" t="e">
        <f t="shared" si="10"/>
        <v>#N/A</v>
      </c>
      <c r="AG107">
        <f t="shared" si="11"/>
        <v>-1.712457831408057</v>
      </c>
      <c r="AH107" t="e">
        <f t="shared" si="11"/>
        <v>#N/A</v>
      </c>
      <c r="AI107" t="e">
        <f t="shared" si="11"/>
        <v>#N/A</v>
      </c>
    </row>
    <row r="108" spans="1:35" x14ac:dyDescent="0.25">
      <c r="A108" t="s">
        <v>15</v>
      </c>
      <c r="B108">
        <v>12.25</v>
      </c>
      <c r="C108">
        <v>1.73</v>
      </c>
      <c r="D108">
        <v>2.12</v>
      </c>
      <c r="E108">
        <v>19</v>
      </c>
      <c r="F108">
        <v>80</v>
      </c>
      <c r="G108">
        <v>1.65</v>
      </c>
      <c r="H108">
        <v>2.0299999999999998</v>
      </c>
      <c r="I108">
        <v>0.37</v>
      </c>
      <c r="J108">
        <v>1.63</v>
      </c>
      <c r="K108">
        <v>3.4</v>
      </c>
      <c r="L108">
        <v>1</v>
      </c>
      <c r="M108">
        <v>3.17</v>
      </c>
      <c r="N108">
        <v>510</v>
      </c>
      <c r="P108">
        <v>1</v>
      </c>
      <c r="Q108">
        <v>1</v>
      </c>
      <c r="W108">
        <v>-0.36523706741018402</v>
      </c>
      <c r="X108">
        <v>-2.1632510261748843</v>
      </c>
      <c r="AC108" t="e">
        <f t="shared" si="10"/>
        <v>#N/A</v>
      </c>
      <c r="AD108">
        <f t="shared" si="10"/>
        <v>-2.1632510261748843</v>
      </c>
      <c r="AE108" t="e">
        <f t="shared" si="10"/>
        <v>#N/A</v>
      </c>
      <c r="AG108">
        <f t="shared" si="11"/>
        <v>-2.1632510261748843</v>
      </c>
      <c r="AH108" t="e">
        <f t="shared" si="11"/>
        <v>#N/A</v>
      </c>
      <c r="AI108" t="e">
        <f t="shared" si="11"/>
        <v>#N/A</v>
      </c>
    </row>
    <row r="109" spans="1:35" x14ac:dyDescent="0.25">
      <c r="A109" t="s">
        <v>15</v>
      </c>
      <c r="B109">
        <v>12.72</v>
      </c>
      <c r="C109">
        <v>1.75</v>
      </c>
      <c r="D109">
        <v>2.2799999999999998</v>
      </c>
      <c r="E109">
        <v>22.5</v>
      </c>
      <c r="F109">
        <v>84</v>
      </c>
      <c r="G109">
        <v>1.38</v>
      </c>
      <c r="H109">
        <v>1.76</v>
      </c>
      <c r="I109">
        <v>0.48</v>
      </c>
      <c r="J109">
        <v>1.63</v>
      </c>
      <c r="K109">
        <v>3.3</v>
      </c>
      <c r="L109">
        <v>0.88</v>
      </c>
      <c r="M109">
        <v>2.42</v>
      </c>
      <c r="N109">
        <v>488</v>
      </c>
      <c r="P109">
        <v>1</v>
      </c>
      <c r="Q109">
        <v>1</v>
      </c>
      <c r="W109">
        <v>-1.6161137098593663</v>
      </c>
      <c r="X109">
        <v>-1.3517702064358355</v>
      </c>
      <c r="AC109" t="e">
        <f t="shared" si="10"/>
        <v>#N/A</v>
      </c>
      <c r="AD109">
        <f t="shared" si="10"/>
        <v>-1.3517702064358355</v>
      </c>
      <c r="AE109" t="e">
        <f t="shared" si="10"/>
        <v>#N/A</v>
      </c>
      <c r="AG109">
        <f t="shared" si="11"/>
        <v>-1.3517702064358355</v>
      </c>
      <c r="AH109" t="e">
        <f t="shared" si="11"/>
        <v>#N/A</v>
      </c>
      <c r="AI109" t="e">
        <f t="shared" si="11"/>
        <v>#N/A</v>
      </c>
    </row>
    <row r="110" spans="1:35" x14ac:dyDescent="0.25">
      <c r="A110" t="s">
        <v>15</v>
      </c>
      <c r="B110">
        <v>12.22</v>
      </c>
      <c r="C110">
        <v>1.29</v>
      </c>
      <c r="D110">
        <v>1.94</v>
      </c>
      <c r="E110">
        <v>19</v>
      </c>
      <c r="F110">
        <v>92</v>
      </c>
      <c r="G110">
        <v>2.36</v>
      </c>
      <c r="H110">
        <v>2.04</v>
      </c>
      <c r="I110">
        <v>0.39</v>
      </c>
      <c r="J110">
        <v>2.08</v>
      </c>
      <c r="K110">
        <v>2.7</v>
      </c>
      <c r="L110">
        <v>0.86</v>
      </c>
      <c r="M110">
        <v>3.02</v>
      </c>
      <c r="N110">
        <v>312</v>
      </c>
      <c r="P110">
        <v>1</v>
      </c>
      <c r="Q110">
        <v>1</v>
      </c>
      <c r="W110">
        <v>8.2303614837427486E-2</v>
      </c>
      <c r="X110">
        <v>-2.2997472764421185</v>
      </c>
      <c r="AC110" t="e">
        <f t="shared" si="10"/>
        <v>#N/A</v>
      </c>
      <c r="AD110">
        <f t="shared" si="10"/>
        <v>-2.2997472764421185</v>
      </c>
      <c r="AE110" t="e">
        <f t="shared" si="10"/>
        <v>#N/A</v>
      </c>
      <c r="AG110">
        <f t="shared" si="11"/>
        <v>-2.2997472764421185</v>
      </c>
      <c r="AH110" t="e">
        <f t="shared" si="11"/>
        <v>#N/A</v>
      </c>
      <c r="AI110" t="e">
        <f t="shared" si="11"/>
        <v>#N/A</v>
      </c>
    </row>
    <row r="111" spans="1:35" x14ac:dyDescent="0.25">
      <c r="A111" t="s">
        <v>15</v>
      </c>
      <c r="B111">
        <v>11.61</v>
      </c>
      <c r="C111">
        <v>1.35</v>
      </c>
      <c r="D111">
        <v>2.7</v>
      </c>
      <c r="E111">
        <v>20</v>
      </c>
      <c r="F111">
        <v>94</v>
      </c>
      <c r="G111">
        <v>2.74</v>
      </c>
      <c r="H111">
        <v>2.92</v>
      </c>
      <c r="I111">
        <v>0.28999999999999998</v>
      </c>
      <c r="J111">
        <v>2.4900000000000002</v>
      </c>
      <c r="K111">
        <v>2.65</v>
      </c>
      <c r="L111">
        <v>0.96</v>
      </c>
      <c r="M111">
        <v>3.26</v>
      </c>
      <c r="N111">
        <v>680</v>
      </c>
      <c r="P111">
        <v>1</v>
      </c>
      <c r="Q111">
        <v>1</v>
      </c>
      <c r="W111">
        <v>1.5738354698043555</v>
      </c>
      <c r="X111">
        <v>-1.4579216680150562</v>
      </c>
      <c r="AC111" t="e">
        <f t="shared" si="10"/>
        <v>#N/A</v>
      </c>
      <c r="AD111">
        <f t="shared" si="10"/>
        <v>-1.4579216680150562</v>
      </c>
      <c r="AE111" t="e">
        <f t="shared" si="10"/>
        <v>#N/A</v>
      </c>
      <c r="AG111">
        <f t="shared" si="11"/>
        <v>-1.4579216680150562</v>
      </c>
      <c r="AH111" t="e">
        <f t="shared" si="11"/>
        <v>#N/A</v>
      </c>
      <c r="AI111" t="e">
        <f t="shared" si="11"/>
        <v>#N/A</v>
      </c>
    </row>
    <row r="112" spans="1:35" x14ac:dyDescent="0.25">
      <c r="A112" t="s">
        <v>15</v>
      </c>
      <c r="B112">
        <v>11.46</v>
      </c>
      <c r="C112">
        <v>3.74</v>
      </c>
      <c r="D112">
        <v>1.82</v>
      </c>
      <c r="E112">
        <v>19.5</v>
      </c>
      <c r="F112">
        <v>107</v>
      </c>
      <c r="G112">
        <v>3.18</v>
      </c>
      <c r="H112">
        <v>2.58</v>
      </c>
      <c r="I112">
        <v>0.24</v>
      </c>
      <c r="J112">
        <v>3.58</v>
      </c>
      <c r="K112">
        <v>2.9</v>
      </c>
      <c r="L112">
        <v>0.75</v>
      </c>
      <c r="M112">
        <v>2.81</v>
      </c>
      <c r="N112">
        <v>562</v>
      </c>
      <c r="P112">
        <v>1</v>
      </c>
      <c r="Q112">
        <v>1</v>
      </c>
      <c r="W112">
        <v>1.4165732645351463</v>
      </c>
      <c r="X112">
        <v>-1.4142172998480587</v>
      </c>
      <c r="AC112" t="e">
        <f t="shared" si="10"/>
        <v>#N/A</v>
      </c>
      <c r="AD112">
        <f t="shared" si="10"/>
        <v>-1.4142172998480587</v>
      </c>
      <c r="AE112" t="e">
        <f t="shared" si="10"/>
        <v>#N/A</v>
      </c>
      <c r="AG112">
        <f t="shared" si="11"/>
        <v>-1.4142172998480587</v>
      </c>
      <c r="AH112" t="e">
        <f t="shared" si="11"/>
        <v>#N/A</v>
      </c>
      <c r="AI112" t="e">
        <f t="shared" si="11"/>
        <v>#N/A</v>
      </c>
    </row>
    <row r="113" spans="1:35" x14ac:dyDescent="0.25">
      <c r="A113" t="s">
        <v>15</v>
      </c>
      <c r="B113">
        <v>12.52</v>
      </c>
      <c r="C113">
        <v>2.4300000000000002</v>
      </c>
      <c r="D113">
        <v>2.17</v>
      </c>
      <c r="E113">
        <v>21</v>
      </c>
      <c r="F113">
        <v>88</v>
      </c>
      <c r="G113">
        <v>2.5499999999999998</v>
      </c>
      <c r="H113">
        <v>2.27</v>
      </c>
      <c r="I113">
        <v>0.26</v>
      </c>
      <c r="J113">
        <v>1.22</v>
      </c>
      <c r="K113">
        <v>2</v>
      </c>
      <c r="L113">
        <v>0.9</v>
      </c>
      <c r="M113">
        <v>2.78</v>
      </c>
      <c r="N113">
        <v>325</v>
      </c>
      <c r="P113">
        <v>1</v>
      </c>
      <c r="Q113">
        <v>1</v>
      </c>
      <c r="W113">
        <v>-0.27791877809847237</v>
      </c>
      <c r="X113">
        <v>-1.9251375066115883</v>
      </c>
      <c r="AC113" t="e">
        <f t="shared" si="10"/>
        <v>#N/A</v>
      </c>
      <c r="AD113">
        <f t="shared" si="10"/>
        <v>-1.9251375066115883</v>
      </c>
      <c r="AE113" t="e">
        <f t="shared" si="10"/>
        <v>#N/A</v>
      </c>
      <c r="AG113">
        <f t="shared" si="11"/>
        <v>-1.9251375066115883</v>
      </c>
      <c r="AH113" t="e">
        <f t="shared" si="11"/>
        <v>#N/A</v>
      </c>
      <c r="AI113" t="e">
        <f t="shared" si="11"/>
        <v>#N/A</v>
      </c>
    </row>
    <row r="114" spans="1:35" x14ac:dyDescent="0.25">
      <c r="A114" t="s">
        <v>15</v>
      </c>
      <c r="B114">
        <v>11.76</v>
      </c>
      <c r="C114">
        <v>2.68</v>
      </c>
      <c r="D114">
        <v>2.92</v>
      </c>
      <c r="E114">
        <v>20</v>
      </c>
      <c r="F114">
        <v>103</v>
      </c>
      <c r="G114">
        <v>1.75</v>
      </c>
      <c r="H114">
        <v>2.0299999999999998</v>
      </c>
      <c r="I114">
        <v>0.6</v>
      </c>
      <c r="J114">
        <v>1.05</v>
      </c>
      <c r="K114">
        <v>3.8</v>
      </c>
      <c r="L114">
        <v>1.23</v>
      </c>
      <c r="M114">
        <v>2.5</v>
      </c>
      <c r="N114">
        <v>607</v>
      </c>
      <c r="P114">
        <v>1</v>
      </c>
      <c r="Q114">
        <v>1</v>
      </c>
      <c r="W114">
        <v>-1.2994792909884685</v>
      </c>
      <c r="X114">
        <v>-0.76102555203077094</v>
      </c>
      <c r="AC114" t="e">
        <f t="shared" si="10"/>
        <v>#N/A</v>
      </c>
      <c r="AD114">
        <f t="shared" si="10"/>
        <v>-0.76102555203077094</v>
      </c>
      <c r="AE114" t="e">
        <f t="shared" si="10"/>
        <v>#N/A</v>
      </c>
      <c r="AG114">
        <f t="shared" si="11"/>
        <v>-0.76102555203077094</v>
      </c>
      <c r="AH114" t="e">
        <f t="shared" si="11"/>
        <v>#N/A</v>
      </c>
      <c r="AI114" t="e">
        <f t="shared" si="11"/>
        <v>#N/A</v>
      </c>
    </row>
    <row r="115" spans="1:35" x14ac:dyDescent="0.25">
      <c r="A115" t="s">
        <v>15</v>
      </c>
      <c r="B115">
        <v>11.41</v>
      </c>
      <c r="C115">
        <v>0.74</v>
      </c>
      <c r="D115">
        <v>2.5</v>
      </c>
      <c r="E115">
        <v>21</v>
      </c>
      <c r="F115">
        <v>88</v>
      </c>
      <c r="G115">
        <v>2.48</v>
      </c>
      <c r="H115">
        <v>2.0099999999999998</v>
      </c>
      <c r="I115">
        <v>0.42</v>
      </c>
      <c r="J115">
        <v>1.44</v>
      </c>
      <c r="K115">
        <v>3.08</v>
      </c>
      <c r="L115">
        <v>1.1000000000000001</v>
      </c>
      <c r="M115">
        <v>2.31</v>
      </c>
      <c r="N115">
        <v>434</v>
      </c>
      <c r="P115">
        <v>1</v>
      </c>
      <c r="Q115">
        <v>1</v>
      </c>
      <c r="W115">
        <v>-0.45578614757078006</v>
      </c>
      <c r="X115">
        <v>-2.2630318661990909</v>
      </c>
      <c r="AC115" t="e">
        <f t="shared" si="10"/>
        <v>#N/A</v>
      </c>
      <c r="AD115">
        <f t="shared" si="10"/>
        <v>-2.2630318661990909</v>
      </c>
      <c r="AE115" t="e">
        <f t="shared" si="10"/>
        <v>#N/A</v>
      </c>
      <c r="AG115">
        <f t="shared" si="11"/>
        <v>-2.2630318661990909</v>
      </c>
      <c r="AH115" t="e">
        <f t="shared" si="11"/>
        <v>#N/A</v>
      </c>
      <c r="AI115" t="e">
        <f t="shared" si="11"/>
        <v>#N/A</v>
      </c>
    </row>
    <row r="116" spans="1:35" x14ac:dyDescent="0.25">
      <c r="A116" t="s">
        <v>15</v>
      </c>
      <c r="B116">
        <v>12.08</v>
      </c>
      <c r="C116">
        <v>1.39</v>
      </c>
      <c r="D116">
        <v>2.5</v>
      </c>
      <c r="E116">
        <v>22.5</v>
      </c>
      <c r="F116">
        <v>84</v>
      </c>
      <c r="G116">
        <v>2.56</v>
      </c>
      <c r="H116">
        <v>2.29</v>
      </c>
      <c r="I116">
        <v>0.43</v>
      </c>
      <c r="J116">
        <v>1.04</v>
      </c>
      <c r="K116">
        <v>2.9</v>
      </c>
      <c r="L116">
        <v>0.93</v>
      </c>
      <c r="M116">
        <v>3.19</v>
      </c>
      <c r="N116">
        <v>385</v>
      </c>
      <c r="P116">
        <v>1</v>
      </c>
      <c r="Q116">
        <v>1</v>
      </c>
      <c r="W116">
        <v>-0.49279572940201444</v>
      </c>
      <c r="X116">
        <v>-1.9335906224455821</v>
      </c>
      <c r="AC116" t="e">
        <f t="shared" si="10"/>
        <v>#N/A</v>
      </c>
      <c r="AD116">
        <f t="shared" si="10"/>
        <v>-1.9335906224455821</v>
      </c>
      <c r="AE116" t="e">
        <f t="shared" si="10"/>
        <v>#N/A</v>
      </c>
      <c r="AG116">
        <f t="shared" si="11"/>
        <v>-1.9335906224455821</v>
      </c>
      <c r="AH116" t="e">
        <f t="shared" si="11"/>
        <v>#N/A</v>
      </c>
      <c r="AI116" t="e">
        <f t="shared" si="11"/>
        <v>#N/A</v>
      </c>
    </row>
    <row r="117" spans="1:35" x14ac:dyDescent="0.25">
      <c r="A117" t="s">
        <v>15</v>
      </c>
      <c r="B117">
        <v>11.03</v>
      </c>
      <c r="C117">
        <v>1.51</v>
      </c>
      <c r="D117">
        <v>2.2000000000000002</v>
      </c>
      <c r="E117">
        <v>21.5</v>
      </c>
      <c r="F117">
        <v>85</v>
      </c>
      <c r="G117">
        <v>2.46</v>
      </c>
      <c r="H117">
        <v>2.17</v>
      </c>
      <c r="I117">
        <v>0.52</v>
      </c>
      <c r="J117">
        <v>2.0099999999999998</v>
      </c>
      <c r="K117">
        <v>1.9</v>
      </c>
      <c r="L117">
        <v>1.71</v>
      </c>
      <c r="M117">
        <v>2.87</v>
      </c>
      <c r="N117">
        <v>407</v>
      </c>
      <c r="P117">
        <v>1</v>
      </c>
      <c r="Q117">
        <v>1</v>
      </c>
      <c r="W117">
        <v>0.48071836097521786</v>
      </c>
      <c r="X117">
        <v>-3.8608927331375886</v>
      </c>
      <c r="AC117" t="e">
        <f t="shared" si="10"/>
        <v>#N/A</v>
      </c>
      <c r="AD117">
        <f t="shared" si="10"/>
        <v>-3.8608927331375886</v>
      </c>
      <c r="AE117" t="e">
        <f t="shared" si="10"/>
        <v>#N/A</v>
      </c>
      <c r="AG117">
        <f t="shared" si="11"/>
        <v>-3.8608927331375886</v>
      </c>
      <c r="AH117" t="e">
        <f t="shared" si="11"/>
        <v>#N/A</v>
      </c>
      <c r="AI117" t="e">
        <f t="shared" si="11"/>
        <v>#N/A</v>
      </c>
    </row>
    <row r="118" spans="1:35" x14ac:dyDescent="0.25">
      <c r="A118" t="s">
        <v>15</v>
      </c>
      <c r="B118">
        <v>11.82</v>
      </c>
      <c r="C118">
        <v>1.47</v>
      </c>
      <c r="D118">
        <v>1.99</v>
      </c>
      <c r="E118">
        <v>20.8</v>
      </c>
      <c r="F118">
        <v>86</v>
      </c>
      <c r="G118">
        <v>1.98</v>
      </c>
      <c r="H118">
        <v>1.6</v>
      </c>
      <c r="I118">
        <v>0.3</v>
      </c>
      <c r="J118">
        <v>1.53</v>
      </c>
      <c r="K118">
        <v>1.95</v>
      </c>
      <c r="L118">
        <v>0.95</v>
      </c>
      <c r="M118">
        <v>3.33</v>
      </c>
      <c r="N118">
        <v>495</v>
      </c>
      <c r="P118">
        <v>1</v>
      </c>
      <c r="Q118">
        <v>1</v>
      </c>
      <c r="W118">
        <v>-0.25217751515631948</v>
      </c>
      <c r="X118">
        <v>-2.8135556714939485</v>
      </c>
      <c r="AC118" t="e">
        <f t="shared" si="10"/>
        <v>#N/A</v>
      </c>
      <c r="AD118">
        <f t="shared" si="10"/>
        <v>-2.8135556714939485</v>
      </c>
      <c r="AE118" t="e">
        <f t="shared" si="10"/>
        <v>#N/A</v>
      </c>
      <c r="AG118">
        <f t="shared" si="11"/>
        <v>-2.8135556714939485</v>
      </c>
      <c r="AH118" t="e">
        <f t="shared" si="11"/>
        <v>#N/A</v>
      </c>
      <c r="AI118" t="e">
        <f t="shared" si="11"/>
        <v>#N/A</v>
      </c>
    </row>
    <row r="119" spans="1:35" x14ac:dyDescent="0.25">
      <c r="A119" t="s">
        <v>15</v>
      </c>
      <c r="B119">
        <v>12.42</v>
      </c>
      <c r="C119">
        <v>1.61</v>
      </c>
      <c r="D119">
        <v>2.19</v>
      </c>
      <c r="E119">
        <v>22.5</v>
      </c>
      <c r="F119">
        <v>108</v>
      </c>
      <c r="G119">
        <v>2</v>
      </c>
      <c r="H119">
        <v>2.09</v>
      </c>
      <c r="I119">
        <v>0.34</v>
      </c>
      <c r="J119">
        <v>1.61</v>
      </c>
      <c r="K119">
        <v>2.06</v>
      </c>
      <c r="L119">
        <v>1.06</v>
      </c>
      <c r="M119">
        <v>2.96</v>
      </c>
      <c r="N119">
        <v>345</v>
      </c>
      <c r="P119">
        <v>1</v>
      </c>
      <c r="Q119">
        <v>1</v>
      </c>
      <c r="W119">
        <v>-0.10692601228872028</v>
      </c>
      <c r="X119">
        <v>-1.9234960905576004</v>
      </c>
      <c r="AC119" t="e">
        <f t="shared" si="10"/>
        <v>#N/A</v>
      </c>
      <c r="AD119">
        <f t="shared" si="10"/>
        <v>-1.9234960905576004</v>
      </c>
      <c r="AE119" t="e">
        <f t="shared" si="10"/>
        <v>#N/A</v>
      </c>
      <c r="AG119">
        <f t="shared" si="11"/>
        <v>-1.9234960905576004</v>
      </c>
      <c r="AH119" t="e">
        <f t="shared" si="11"/>
        <v>#N/A</v>
      </c>
      <c r="AI119" t="e">
        <f t="shared" si="11"/>
        <v>#N/A</v>
      </c>
    </row>
    <row r="120" spans="1:35" x14ac:dyDescent="0.25">
      <c r="A120" t="s">
        <v>15</v>
      </c>
      <c r="B120">
        <v>12.77</v>
      </c>
      <c r="C120">
        <v>3.43</v>
      </c>
      <c r="D120">
        <v>1.98</v>
      </c>
      <c r="E120">
        <v>16</v>
      </c>
      <c r="F120">
        <v>80</v>
      </c>
      <c r="G120">
        <v>1.63</v>
      </c>
      <c r="H120">
        <v>1.25</v>
      </c>
      <c r="I120">
        <v>0.43</v>
      </c>
      <c r="J120">
        <v>0.83</v>
      </c>
      <c r="K120">
        <v>3.4</v>
      </c>
      <c r="L120">
        <v>0.7</v>
      </c>
      <c r="M120">
        <v>2.12</v>
      </c>
      <c r="N120">
        <v>372</v>
      </c>
      <c r="P120">
        <v>3</v>
      </c>
      <c r="Q120">
        <v>3</v>
      </c>
      <c r="W120">
        <v>-2.4261686716910407</v>
      </c>
      <c r="X120">
        <v>-1.2536047719002812</v>
      </c>
      <c r="AC120" t="e">
        <f t="shared" si="10"/>
        <v>#N/A</v>
      </c>
      <c r="AD120">
        <f t="shared" si="10"/>
        <v>-1.2536047719002812</v>
      </c>
      <c r="AE120" t="e">
        <f t="shared" si="10"/>
        <v>#N/A</v>
      </c>
      <c r="AG120" t="e">
        <f t="shared" si="11"/>
        <v>#N/A</v>
      </c>
      <c r="AH120" t="e">
        <f t="shared" si="11"/>
        <v>#N/A</v>
      </c>
      <c r="AI120">
        <f t="shared" si="11"/>
        <v>-1.2536047719002812</v>
      </c>
    </row>
    <row r="121" spans="1:35" x14ac:dyDescent="0.25">
      <c r="A121" t="s">
        <v>15</v>
      </c>
      <c r="B121">
        <v>12</v>
      </c>
      <c r="C121">
        <v>3.43</v>
      </c>
      <c r="D121">
        <v>2</v>
      </c>
      <c r="E121">
        <v>19</v>
      </c>
      <c r="F121">
        <v>87</v>
      </c>
      <c r="G121">
        <v>2</v>
      </c>
      <c r="H121">
        <v>1.64</v>
      </c>
      <c r="I121">
        <v>0.37</v>
      </c>
      <c r="J121">
        <v>1.87</v>
      </c>
      <c r="K121">
        <v>1.28</v>
      </c>
      <c r="L121">
        <v>0.93</v>
      </c>
      <c r="M121">
        <v>3.05</v>
      </c>
      <c r="N121">
        <v>564</v>
      </c>
      <c r="P121">
        <v>1</v>
      </c>
      <c r="Q121">
        <v>1</v>
      </c>
      <c r="W121">
        <v>-0.54953935457595315</v>
      </c>
      <c r="X121">
        <v>-2.2159107322927385</v>
      </c>
      <c r="AC121" t="e">
        <f t="shared" si="10"/>
        <v>#N/A</v>
      </c>
      <c r="AD121">
        <f t="shared" si="10"/>
        <v>-2.2159107322927385</v>
      </c>
      <c r="AE121" t="e">
        <f t="shared" si="10"/>
        <v>#N/A</v>
      </c>
      <c r="AG121">
        <f t="shared" si="11"/>
        <v>-2.2159107322927385</v>
      </c>
      <c r="AH121" t="e">
        <f t="shared" si="11"/>
        <v>#N/A</v>
      </c>
      <c r="AI121" t="e">
        <f t="shared" si="11"/>
        <v>#N/A</v>
      </c>
    </row>
    <row r="122" spans="1:35" x14ac:dyDescent="0.25">
      <c r="A122" t="s">
        <v>15</v>
      </c>
      <c r="B122">
        <v>11.45</v>
      </c>
      <c r="C122">
        <v>2.4</v>
      </c>
      <c r="D122">
        <v>2.42</v>
      </c>
      <c r="E122">
        <v>20</v>
      </c>
      <c r="F122">
        <v>96</v>
      </c>
      <c r="G122">
        <v>2.9</v>
      </c>
      <c r="H122">
        <v>2.79</v>
      </c>
      <c r="I122">
        <v>0.32</v>
      </c>
      <c r="J122">
        <v>1.83</v>
      </c>
      <c r="K122">
        <v>3.25</v>
      </c>
      <c r="L122">
        <v>0.8</v>
      </c>
      <c r="M122">
        <v>3.39</v>
      </c>
      <c r="N122">
        <v>625</v>
      </c>
      <c r="P122">
        <v>1</v>
      </c>
      <c r="Q122">
        <v>1</v>
      </c>
      <c r="W122">
        <v>0.73754141268776852</v>
      </c>
      <c r="X122">
        <v>-1.4049933496459326</v>
      </c>
      <c r="AC122" t="e">
        <f t="shared" si="10"/>
        <v>#N/A</v>
      </c>
      <c r="AD122">
        <f t="shared" si="10"/>
        <v>-1.4049933496459326</v>
      </c>
      <c r="AE122" t="e">
        <f t="shared" si="10"/>
        <v>#N/A</v>
      </c>
      <c r="AG122">
        <f t="shared" si="11"/>
        <v>-1.4049933496459326</v>
      </c>
      <c r="AH122" t="e">
        <f t="shared" si="11"/>
        <v>#N/A</v>
      </c>
      <c r="AI122" t="e">
        <f t="shared" si="11"/>
        <v>#N/A</v>
      </c>
    </row>
    <row r="123" spans="1:35" x14ac:dyDescent="0.25">
      <c r="A123" t="s">
        <v>15</v>
      </c>
      <c r="B123">
        <v>11.56</v>
      </c>
      <c r="C123">
        <v>2.0499999999999998</v>
      </c>
      <c r="D123">
        <v>3.23</v>
      </c>
      <c r="E123">
        <v>28.5</v>
      </c>
      <c r="F123">
        <v>119</v>
      </c>
      <c r="G123">
        <v>3.18</v>
      </c>
      <c r="H123">
        <v>5.08</v>
      </c>
      <c r="I123">
        <v>0.47</v>
      </c>
      <c r="J123">
        <v>1.87</v>
      </c>
      <c r="K123">
        <v>6</v>
      </c>
      <c r="L123">
        <v>0.93</v>
      </c>
      <c r="M123">
        <v>3.69</v>
      </c>
      <c r="N123">
        <v>465</v>
      </c>
      <c r="P123">
        <v>2</v>
      </c>
      <c r="Q123">
        <v>2</v>
      </c>
      <c r="W123">
        <v>1.3325627337665038</v>
      </c>
      <c r="X123">
        <v>0.25262430820437415</v>
      </c>
      <c r="AC123" t="e">
        <f t="shared" si="10"/>
        <v>#N/A</v>
      </c>
      <c r="AD123">
        <f t="shared" si="10"/>
        <v>0.25262430820437415</v>
      </c>
      <c r="AE123" t="e">
        <f t="shared" si="10"/>
        <v>#N/A</v>
      </c>
      <c r="AG123" t="e">
        <f t="shared" si="11"/>
        <v>#N/A</v>
      </c>
      <c r="AH123">
        <f t="shared" si="11"/>
        <v>0.25262430820437415</v>
      </c>
      <c r="AI123" t="e">
        <f t="shared" si="11"/>
        <v>#N/A</v>
      </c>
    </row>
    <row r="124" spans="1:35" x14ac:dyDescent="0.25">
      <c r="A124" t="s">
        <v>15</v>
      </c>
      <c r="B124">
        <v>12.42</v>
      </c>
      <c r="C124">
        <v>4.43</v>
      </c>
      <c r="D124">
        <v>2.73</v>
      </c>
      <c r="E124">
        <v>26.5</v>
      </c>
      <c r="F124">
        <v>102</v>
      </c>
      <c r="G124">
        <v>2.2000000000000002</v>
      </c>
      <c r="H124">
        <v>2.13</v>
      </c>
      <c r="I124">
        <v>0.43</v>
      </c>
      <c r="J124">
        <v>1.71</v>
      </c>
      <c r="K124">
        <v>2.08</v>
      </c>
      <c r="L124">
        <v>0.92</v>
      </c>
      <c r="M124">
        <v>3.12</v>
      </c>
      <c r="N124">
        <v>365</v>
      </c>
      <c r="P124">
        <v>1</v>
      </c>
      <c r="Q124">
        <v>1</v>
      </c>
      <c r="W124">
        <v>-1.1737759151628346</v>
      </c>
      <c r="X124">
        <v>-0.66209913746065507</v>
      </c>
      <c r="AC124" t="e">
        <f t="shared" si="10"/>
        <v>#N/A</v>
      </c>
      <c r="AD124">
        <f t="shared" si="10"/>
        <v>-0.66209913746065507</v>
      </c>
      <c r="AE124" t="e">
        <f t="shared" si="10"/>
        <v>#N/A</v>
      </c>
      <c r="AG124">
        <f t="shared" si="11"/>
        <v>-0.66209913746065507</v>
      </c>
      <c r="AH124" t="e">
        <f t="shared" si="11"/>
        <v>#N/A</v>
      </c>
      <c r="AI124" t="e">
        <f t="shared" si="11"/>
        <v>#N/A</v>
      </c>
    </row>
    <row r="125" spans="1:35" x14ac:dyDescent="0.25">
      <c r="A125" t="s">
        <v>15</v>
      </c>
      <c r="B125">
        <v>13.05</v>
      </c>
      <c r="C125">
        <v>5.8</v>
      </c>
      <c r="D125">
        <v>2.13</v>
      </c>
      <c r="E125">
        <v>21.5</v>
      </c>
      <c r="F125">
        <v>86</v>
      </c>
      <c r="G125">
        <v>2.62</v>
      </c>
      <c r="H125">
        <v>2.65</v>
      </c>
      <c r="I125">
        <v>0.3</v>
      </c>
      <c r="J125">
        <v>2.0099999999999998</v>
      </c>
      <c r="K125">
        <v>2.6</v>
      </c>
      <c r="L125">
        <v>0.73</v>
      </c>
      <c r="M125">
        <v>3.1</v>
      </c>
      <c r="N125">
        <v>380</v>
      </c>
      <c r="P125">
        <v>1</v>
      </c>
      <c r="Q125">
        <v>1</v>
      </c>
      <c r="W125">
        <v>-0.46103448501880506</v>
      </c>
      <c r="X125">
        <v>-0.61654896874307785</v>
      </c>
      <c r="AC125" t="e">
        <f t="shared" si="10"/>
        <v>#N/A</v>
      </c>
      <c r="AD125">
        <f t="shared" si="10"/>
        <v>-0.61654896874307785</v>
      </c>
      <c r="AE125" t="e">
        <f t="shared" si="10"/>
        <v>#N/A</v>
      </c>
      <c r="AG125">
        <f t="shared" si="11"/>
        <v>-0.61654896874307785</v>
      </c>
      <c r="AH125" t="e">
        <f t="shared" si="11"/>
        <v>#N/A</v>
      </c>
      <c r="AI125" t="e">
        <f t="shared" si="11"/>
        <v>#N/A</v>
      </c>
    </row>
    <row r="126" spans="1:35" x14ac:dyDescent="0.25">
      <c r="A126" t="s">
        <v>15</v>
      </c>
      <c r="B126">
        <v>11.87</v>
      </c>
      <c r="C126">
        <v>4.3099999999999996</v>
      </c>
      <c r="D126">
        <v>2.39</v>
      </c>
      <c r="E126">
        <v>21</v>
      </c>
      <c r="F126">
        <v>82</v>
      </c>
      <c r="G126">
        <v>2.86</v>
      </c>
      <c r="H126">
        <v>3.03</v>
      </c>
      <c r="I126">
        <v>0.21</v>
      </c>
      <c r="J126">
        <v>2.91</v>
      </c>
      <c r="K126">
        <v>2.8</v>
      </c>
      <c r="L126">
        <v>0.75</v>
      </c>
      <c r="M126">
        <v>3.64</v>
      </c>
      <c r="N126">
        <v>380</v>
      </c>
      <c r="P126">
        <v>1</v>
      </c>
      <c r="Q126">
        <v>1</v>
      </c>
      <c r="W126">
        <v>0.97572168549517435</v>
      </c>
      <c r="X126">
        <v>-1.4415041883724646</v>
      </c>
      <c r="AC126" t="e">
        <f t="shared" si="10"/>
        <v>#N/A</v>
      </c>
      <c r="AD126">
        <f t="shared" si="10"/>
        <v>-1.4415041883724646</v>
      </c>
      <c r="AE126" t="e">
        <f t="shared" si="10"/>
        <v>#N/A</v>
      </c>
      <c r="AG126">
        <f t="shared" si="11"/>
        <v>-1.4415041883724646</v>
      </c>
      <c r="AH126" t="e">
        <f t="shared" si="11"/>
        <v>#N/A</v>
      </c>
      <c r="AI126" t="e">
        <f t="shared" si="11"/>
        <v>#N/A</v>
      </c>
    </row>
    <row r="127" spans="1:35" x14ac:dyDescent="0.25">
      <c r="A127" t="s">
        <v>15</v>
      </c>
      <c r="B127">
        <v>12.07</v>
      </c>
      <c r="C127">
        <v>2.16</v>
      </c>
      <c r="D127">
        <v>2.17</v>
      </c>
      <c r="E127">
        <v>21</v>
      </c>
      <c r="F127">
        <v>85</v>
      </c>
      <c r="G127">
        <v>2.6</v>
      </c>
      <c r="H127">
        <v>2.65</v>
      </c>
      <c r="I127">
        <v>0.37</v>
      </c>
      <c r="J127">
        <v>1.35</v>
      </c>
      <c r="K127">
        <v>2.76</v>
      </c>
      <c r="L127">
        <v>0.86</v>
      </c>
      <c r="M127">
        <v>3.28</v>
      </c>
      <c r="N127">
        <v>378</v>
      </c>
      <c r="P127">
        <v>1</v>
      </c>
      <c r="Q127">
        <v>1</v>
      </c>
      <c r="W127">
        <v>-9.6537405880416982E-2</v>
      </c>
      <c r="X127">
        <v>-2.1040626847474138</v>
      </c>
      <c r="AC127" t="e">
        <f t="shared" si="10"/>
        <v>#N/A</v>
      </c>
      <c r="AD127">
        <f t="shared" si="10"/>
        <v>-2.1040626847474138</v>
      </c>
      <c r="AE127" t="e">
        <f t="shared" si="10"/>
        <v>#N/A</v>
      </c>
      <c r="AG127">
        <f t="shared" si="11"/>
        <v>-2.1040626847474138</v>
      </c>
      <c r="AH127" t="e">
        <f t="shared" si="11"/>
        <v>#N/A</v>
      </c>
      <c r="AI127" t="e">
        <f t="shared" si="11"/>
        <v>#N/A</v>
      </c>
    </row>
    <row r="128" spans="1:35" x14ac:dyDescent="0.25">
      <c r="A128" t="s">
        <v>15</v>
      </c>
      <c r="B128">
        <v>12.43</v>
      </c>
      <c r="C128">
        <v>1.53</v>
      </c>
      <c r="D128">
        <v>2.29</v>
      </c>
      <c r="E128">
        <v>21.5</v>
      </c>
      <c r="F128">
        <v>86</v>
      </c>
      <c r="G128">
        <v>2.74</v>
      </c>
      <c r="H128">
        <v>3.15</v>
      </c>
      <c r="I128">
        <v>0.39</v>
      </c>
      <c r="J128">
        <v>1.77</v>
      </c>
      <c r="K128">
        <v>3.94</v>
      </c>
      <c r="L128">
        <v>0.69</v>
      </c>
      <c r="M128">
        <v>2.84</v>
      </c>
      <c r="N128">
        <v>352</v>
      </c>
      <c r="P128">
        <v>1</v>
      </c>
      <c r="Q128">
        <v>1</v>
      </c>
      <c r="W128">
        <v>3.8378883706233546E-2</v>
      </c>
      <c r="X128">
        <v>-1.2631987770305313</v>
      </c>
      <c r="AC128" t="e">
        <f t="shared" si="10"/>
        <v>#N/A</v>
      </c>
      <c r="AD128">
        <f t="shared" si="10"/>
        <v>-1.2631987770305313</v>
      </c>
      <c r="AE128" t="e">
        <f t="shared" si="10"/>
        <v>#N/A</v>
      </c>
      <c r="AG128">
        <f t="shared" si="11"/>
        <v>-1.2631987770305313</v>
      </c>
      <c r="AH128" t="e">
        <f t="shared" si="11"/>
        <v>#N/A</v>
      </c>
      <c r="AI128" t="e">
        <f t="shared" si="11"/>
        <v>#N/A</v>
      </c>
    </row>
    <row r="129" spans="1:35" x14ac:dyDescent="0.25">
      <c r="A129" t="s">
        <v>15</v>
      </c>
      <c r="B129">
        <v>11.79</v>
      </c>
      <c r="C129">
        <v>2.13</v>
      </c>
      <c r="D129">
        <v>2.78</v>
      </c>
      <c r="E129">
        <v>28.5</v>
      </c>
      <c r="F129">
        <v>92</v>
      </c>
      <c r="G129">
        <v>2.13</v>
      </c>
      <c r="H129">
        <v>2.2400000000000002</v>
      </c>
      <c r="I129">
        <v>0.57999999999999996</v>
      </c>
      <c r="J129">
        <v>1.76</v>
      </c>
      <c r="K129">
        <v>3</v>
      </c>
      <c r="L129">
        <v>0.97</v>
      </c>
      <c r="M129">
        <v>2.44</v>
      </c>
      <c r="N129">
        <v>466</v>
      </c>
      <c r="P129">
        <v>1</v>
      </c>
      <c r="Q129">
        <v>1</v>
      </c>
      <c r="W129">
        <v>-1.5926657820455461</v>
      </c>
      <c r="X129">
        <v>-1.2047451326925263</v>
      </c>
      <c r="AC129" t="e">
        <f t="shared" si="10"/>
        <v>#N/A</v>
      </c>
      <c r="AD129">
        <f t="shared" si="10"/>
        <v>-1.2047451326925263</v>
      </c>
      <c r="AE129" t="e">
        <f t="shared" si="10"/>
        <v>#N/A</v>
      </c>
      <c r="AG129">
        <f t="shared" si="11"/>
        <v>-1.2047451326925263</v>
      </c>
      <c r="AH129" t="e">
        <f t="shared" si="11"/>
        <v>#N/A</v>
      </c>
      <c r="AI129" t="e">
        <f t="shared" si="11"/>
        <v>#N/A</v>
      </c>
    </row>
    <row r="130" spans="1:35" x14ac:dyDescent="0.25">
      <c r="A130" t="s">
        <v>15</v>
      </c>
      <c r="B130">
        <v>12.37</v>
      </c>
      <c r="C130">
        <v>1.63</v>
      </c>
      <c r="D130">
        <v>2.2999999999999998</v>
      </c>
      <c r="E130">
        <v>24.5</v>
      </c>
      <c r="F130">
        <v>88</v>
      </c>
      <c r="G130">
        <v>2.2200000000000002</v>
      </c>
      <c r="H130">
        <v>2.4500000000000002</v>
      </c>
      <c r="I130">
        <v>0.4</v>
      </c>
      <c r="J130">
        <v>1.9</v>
      </c>
      <c r="K130">
        <v>2.12</v>
      </c>
      <c r="L130">
        <v>0.89</v>
      </c>
      <c r="M130">
        <v>2.78</v>
      </c>
      <c r="N130">
        <v>342</v>
      </c>
      <c r="P130">
        <v>1</v>
      </c>
      <c r="Q130">
        <v>1</v>
      </c>
      <c r="W130">
        <v>-0.47821592632775384</v>
      </c>
      <c r="X130">
        <v>-1.9333868080596237</v>
      </c>
      <c r="AC130" t="e">
        <f t="shared" si="10"/>
        <v>#N/A</v>
      </c>
      <c r="AD130">
        <f t="shared" si="10"/>
        <v>-1.9333868080596237</v>
      </c>
      <c r="AE130" t="e">
        <f t="shared" si="10"/>
        <v>#N/A</v>
      </c>
      <c r="AG130">
        <f t="shared" si="11"/>
        <v>-1.9333868080596237</v>
      </c>
      <c r="AH130" t="e">
        <f t="shared" si="11"/>
        <v>#N/A</v>
      </c>
      <c r="AI130" t="e">
        <f t="shared" si="11"/>
        <v>#N/A</v>
      </c>
    </row>
    <row r="131" spans="1:35" x14ac:dyDescent="0.25">
      <c r="A131" t="s">
        <v>15</v>
      </c>
      <c r="B131">
        <v>12.04</v>
      </c>
      <c r="C131">
        <v>4.3</v>
      </c>
      <c r="D131">
        <v>2.38</v>
      </c>
      <c r="E131">
        <v>22</v>
      </c>
      <c r="F131">
        <v>80</v>
      </c>
      <c r="G131">
        <v>2.1</v>
      </c>
      <c r="H131">
        <v>1.75</v>
      </c>
      <c r="I131">
        <v>0.42</v>
      </c>
      <c r="J131">
        <v>1.35</v>
      </c>
      <c r="K131">
        <v>2.6</v>
      </c>
      <c r="L131">
        <v>0.79</v>
      </c>
      <c r="M131">
        <v>2.57</v>
      </c>
      <c r="N131">
        <v>580</v>
      </c>
      <c r="P131">
        <v>1</v>
      </c>
      <c r="Q131">
        <v>1</v>
      </c>
      <c r="W131">
        <v>-1.7877903309049312</v>
      </c>
      <c r="X131">
        <v>-1.1470524072681711</v>
      </c>
      <c r="AC131" t="e">
        <f t="shared" ref="AC131:AE162" si="12">IF($A131=AC$1,$X131,NA())</f>
        <v>#N/A</v>
      </c>
      <c r="AD131">
        <f t="shared" si="12"/>
        <v>-1.1470524072681711</v>
      </c>
      <c r="AE131" t="e">
        <f t="shared" si="12"/>
        <v>#N/A</v>
      </c>
      <c r="AG131">
        <f t="shared" ref="AG131:AI162" si="13">IF($P131=AG$1,$X131,NA())</f>
        <v>-1.1470524072681711</v>
      </c>
      <c r="AH131" t="e">
        <f t="shared" si="13"/>
        <v>#N/A</v>
      </c>
      <c r="AI131" t="e">
        <f t="shared" si="13"/>
        <v>#N/A</v>
      </c>
    </row>
    <row r="132" spans="1:35" x14ac:dyDescent="0.25">
      <c r="A132" t="s">
        <v>16</v>
      </c>
      <c r="B132">
        <v>12.86</v>
      </c>
      <c r="C132">
        <v>1.35</v>
      </c>
      <c r="D132">
        <v>2.3199999999999998</v>
      </c>
      <c r="E132">
        <v>18</v>
      </c>
      <c r="F132">
        <v>122</v>
      </c>
      <c r="G132">
        <v>1.51</v>
      </c>
      <c r="H132">
        <v>1.25</v>
      </c>
      <c r="I132">
        <v>0.21</v>
      </c>
      <c r="J132">
        <v>0.94</v>
      </c>
      <c r="K132">
        <v>4.0999999999999996</v>
      </c>
      <c r="L132">
        <v>0.76</v>
      </c>
      <c r="M132">
        <v>1.29</v>
      </c>
      <c r="N132">
        <v>630</v>
      </c>
      <c r="P132">
        <v>3</v>
      </c>
      <c r="Q132">
        <v>3</v>
      </c>
      <c r="W132">
        <v>-1.3233685920472269</v>
      </c>
      <c r="X132">
        <v>0.1699099368778004</v>
      </c>
      <c r="AC132" t="e">
        <f t="shared" si="12"/>
        <v>#N/A</v>
      </c>
      <c r="AD132" t="e">
        <f t="shared" si="12"/>
        <v>#N/A</v>
      </c>
      <c r="AE132">
        <f t="shared" si="12"/>
        <v>0.1699099368778004</v>
      </c>
      <c r="AG132" t="e">
        <f t="shared" si="13"/>
        <v>#N/A</v>
      </c>
      <c r="AH132" t="e">
        <f t="shared" si="13"/>
        <v>#N/A</v>
      </c>
      <c r="AI132">
        <f t="shared" si="13"/>
        <v>0.1699099368778004</v>
      </c>
    </row>
    <row r="133" spans="1:35" x14ac:dyDescent="0.25">
      <c r="A133" t="s">
        <v>16</v>
      </c>
      <c r="B133">
        <v>12.88</v>
      </c>
      <c r="C133">
        <v>2.99</v>
      </c>
      <c r="D133">
        <v>2.4</v>
      </c>
      <c r="E133">
        <v>20</v>
      </c>
      <c r="F133">
        <v>104</v>
      </c>
      <c r="G133">
        <v>1.3</v>
      </c>
      <c r="H133">
        <v>1.22</v>
      </c>
      <c r="I133">
        <v>0.24</v>
      </c>
      <c r="J133">
        <v>0.83</v>
      </c>
      <c r="K133">
        <v>5.4</v>
      </c>
      <c r="L133">
        <v>0.74</v>
      </c>
      <c r="M133">
        <v>1.42</v>
      </c>
      <c r="N133">
        <v>530</v>
      </c>
      <c r="P133">
        <v>3</v>
      </c>
      <c r="Q133">
        <v>3</v>
      </c>
      <c r="W133">
        <v>-2.3777933648018679</v>
      </c>
      <c r="X133">
        <v>0.37352892546707361</v>
      </c>
      <c r="AC133" t="e">
        <f t="shared" si="12"/>
        <v>#N/A</v>
      </c>
      <c r="AD133" t="e">
        <f t="shared" si="12"/>
        <v>#N/A</v>
      </c>
      <c r="AE133">
        <f t="shared" si="12"/>
        <v>0.37352892546707361</v>
      </c>
      <c r="AG133" t="e">
        <f t="shared" si="13"/>
        <v>#N/A</v>
      </c>
      <c r="AH133" t="e">
        <f t="shared" si="13"/>
        <v>#N/A</v>
      </c>
      <c r="AI133">
        <f t="shared" si="13"/>
        <v>0.37352892546707361</v>
      </c>
    </row>
    <row r="134" spans="1:35" x14ac:dyDescent="0.25">
      <c r="A134" t="s">
        <v>16</v>
      </c>
      <c r="B134">
        <v>12.81</v>
      </c>
      <c r="C134">
        <v>2.31</v>
      </c>
      <c r="D134">
        <v>2.4</v>
      </c>
      <c r="E134">
        <v>24</v>
      </c>
      <c r="F134">
        <v>98</v>
      </c>
      <c r="G134">
        <v>1.1499999999999999</v>
      </c>
      <c r="H134">
        <v>1.0900000000000001</v>
      </c>
      <c r="I134">
        <v>0.27</v>
      </c>
      <c r="J134">
        <v>0.83</v>
      </c>
      <c r="K134">
        <v>5.7</v>
      </c>
      <c r="L134">
        <v>0.66</v>
      </c>
      <c r="M134">
        <v>1.36</v>
      </c>
      <c r="N134">
        <v>560</v>
      </c>
      <c r="P134">
        <v>3</v>
      </c>
      <c r="Q134">
        <v>3</v>
      </c>
      <c r="W134">
        <v>-2.9286786508959581</v>
      </c>
      <c r="X134">
        <v>0.26311960145949786</v>
      </c>
      <c r="AC134" t="e">
        <f t="shared" si="12"/>
        <v>#N/A</v>
      </c>
      <c r="AD134" t="e">
        <f t="shared" si="12"/>
        <v>#N/A</v>
      </c>
      <c r="AE134">
        <f t="shared" si="12"/>
        <v>0.26311960145949786</v>
      </c>
      <c r="AG134" t="e">
        <f t="shared" si="13"/>
        <v>#N/A</v>
      </c>
      <c r="AH134" t="e">
        <f t="shared" si="13"/>
        <v>#N/A</v>
      </c>
      <c r="AI134">
        <f t="shared" si="13"/>
        <v>0.26311960145949786</v>
      </c>
    </row>
    <row r="135" spans="1:35" x14ac:dyDescent="0.25">
      <c r="A135" t="s">
        <v>16</v>
      </c>
      <c r="B135">
        <v>12.7</v>
      </c>
      <c r="C135">
        <v>3.55</v>
      </c>
      <c r="D135">
        <v>2.36</v>
      </c>
      <c r="E135">
        <v>21.5</v>
      </c>
      <c r="F135">
        <v>106</v>
      </c>
      <c r="G135">
        <v>1.7</v>
      </c>
      <c r="H135">
        <v>1.2</v>
      </c>
      <c r="I135">
        <v>0.17</v>
      </c>
      <c r="J135">
        <v>0.84</v>
      </c>
      <c r="K135">
        <v>5</v>
      </c>
      <c r="L135">
        <v>0.78</v>
      </c>
      <c r="M135">
        <v>1.29</v>
      </c>
      <c r="N135">
        <v>600</v>
      </c>
      <c r="P135">
        <v>3</v>
      </c>
      <c r="Q135">
        <v>3</v>
      </c>
      <c r="W135">
        <v>-2.140772271931525</v>
      </c>
      <c r="X135">
        <v>0.36721907125002751</v>
      </c>
      <c r="AC135" t="e">
        <f t="shared" si="12"/>
        <v>#N/A</v>
      </c>
      <c r="AD135" t="e">
        <f t="shared" si="12"/>
        <v>#N/A</v>
      </c>
      <c r="AE135">
        <f t="shared" si="12"/>
        <v>0.36721907125002751</v>
      </c>
      <c r="AG135" t="e">
        <f t="shared" si="13"/>
        <v>#N/A</v>
      </c>
      <c r="AH135" t="e">
        <f t="shared" si="13"/>
        <v>#N/A</v>
      </c>
      <c r="AI135">
        <f t="shared" si="13"/>
        <v>0.36721907125002751</v>
      </c>
    </row>
    <row r="136" spans="1:35" x14ac:dyDescent="0.25">
      <c r="A136" t="s">
        <v>16</v>
      </c>
      <c r="B136">
        <v>12.51</v>
      </c>
      <c r="C136">
        <v>1.24</v>
      </c>
      <c r="D136">
        <v>2.25</v>
      </c>
      <c r="E136">
        <v>17.5</v>
      </c>
      <c r="F136">
        <v>85</v>
      </c>
      <c r="G136">
        <v>2</v>
      </c>
      <c r="H136">
        <v>0.57999999999999996</v>
      </c>
      <c r="I136">
        <v>0.6</v>
      </c>
      <c r="J136">
        <v>1.25</v>
      </c>
      <c r="K136">
        <v>5.45</v>
      </c>
      <c r="L136">
        <v>0.75</v>
      </c>
      <c r="M136">
        <v>1.51</v>
      </c>
      <c r="N136">
        <v>650</v>
      </c>
      <c r="P136">
        <v>3</v>
      </c>
      <c r="Q136">
        <v>3</v>
      </c>
      <c r="W136">
        <v>-2.3632031755938505</v>
      </c>
      <c r="X136">
        <v>-0.45834188199781206</v>
      </c>
      <c r="AC136" t="e">
        <f t="shared" si="12"/>
        <v>#N/A</v>
      </c>
      <c r="AD136" t="e">
        <f t="shared" si="12"/>
        <v>#N/A</v>
      </c>
      <c r="AE136">
        <f t="shared" si="12"/>
        <v>-0.45834188199781206</v>
      </c>
      <c r="AG136" t="e">
        <f t="shared" si="13"/>
        <v>#N/A</v>
      </c>
      <c r="AH136" t="e">
        <f t="shared" si="13"/>
        <v>#N/A</v>
      </c>
      <c r="AI136">
        <f t="shared" si="13"/>
        <v>-0.45834188199781206</v>
      </c>
    </row>
    <row r="137" spans="1:35" x14ac:dyDescent="0.25">
      <c r="A137" t="s">
        <v>16</v>
      </c>
      <c r="B137">
        <v>12.6</v>
      </c>
      <c r="C137">
        <v>2.46</v>
      </c>
      <c r="D137">
        <v>2.2000000000000002</v>
      </c>
      <c r="E137">
        <v>18.5</v>
      </c>
      <c r="F137">
        <v>94</v>
      </c>
      <c r="G137">
        <v>1.62</v>
      </c>
      <c r="H137">
        <v>0.66</v>
      </c>
      <c r="I137">
        <v>0.63</v>
      </c>
      <c r="J137">
        <v>0.94</v>
      </c>
      <c r="K137">
        <v>7.1</v>
      </c>
      <c r="L137">
        <v>0.73</v>
      </c>
      <c r="M137">
        <v>1.58</v>
      </c>
      <c r="N137">
        <v>695</v>
      </c>
      <c r="P137">
        <v>3</v>
      </c>
      <c r="Q137">
        <v>3</v>
      </c>
      <c r="W137">
        <v>-3.0552231506159506</v>
      </c>
      <c r="X137">
        <v>0.35241870437332995</v>
      </c>
      <c r="AC137" t="e">
        <f t="shared" si="12"/>
        <v>#N/A</v>
      </c>
      <c r="AD137" t="e">
        <f t="shared" si="12"/>
        <v>#N/A</v>
      </c>
      <c r="AE137">
        <f t="shared" si="12"/>
        <v>0.35241870437332995</v>
      </c>
      <c r="AG137" t="e">
        <f t="shared" si="13"/>
        <v>#N/A</v>
      </c>
      <c r="AH137" t="e">
        <f t="shared" si="13"/>
        <v>#N/A</v>
      </c>
      <c r="AI137">
        <f t="shared" si="13"/>
        <v>0.35241870437332995</v>
      </c>
    </row>
    <row r="138" spans="1:35" x14ac:dyDescent="0.25">
      <c r="A138" t="s">
        <v>16</v>
      </c>
      <c r="B138">
        <v>12.25</v>
      </c>
      <c r="C138">
        <v>4.72</v>
      </c>
      <c r="D138">
        <v>2.54</v>
      </c>
      <c r="E138">
        <v>21</v>
      </c>
      <c r="F138">
        <v>89</v>
      </c>
      <c r="G138">
        <v>1.38</v>
      </c>
      <c r="H138">
        <v>0.47</v>
      </c>
      <c r="I138">
        <v>0.53</v>
      </c>
      <c r="J138">
        <v>0.8</v>
      </c>
      <c r="K138">
        <v>3.85</v>
      </c>
      <c r="L138">
        <v>0.75</v>
      </c>
      <c r="M138">
        <v>1.27</v>
      </c>
      <c r="N138">
        <v>720</v>
      </c>
      <c r="P138">
        <v>3</v>
      </c>
      <c r="Q138">
        <v>3</v>
      </c>
      <c r="W138">
        <v>-3.9047389832994002</v>
      </c>
      <c r="X138">
        <v>0.15414768722450969</v>
      </c>
      <c r="AC138" t="e">
        <f t="shared" si="12"/>
        <v>#N/A</v>
      </c>
      <c r="AD138" t="e">
        <f t="shared" si="12"/>
        <v>#N/A</v>
      </c>
      <c r="AE138">
        <f t="shared" si="12"/>
        <v>0.15414768722450969</v>
      </c>
      <c r="AG138" t="e">
        <f t="shared" si="13"/>
        <v>#N/A</v>
      </c>
      <c r="AH138" t="e">
        <f t="shared" si="13"/>
        <v>#N/A</v>
      </c>
      <c r="AI138">
        <f t="shared" si="13"/>
        <v>0.15414768722450969</v>
      </c>
    </row>
    <row r="139" spans="1:35" x14ac:dyDescent="0.25">
      <c r="A139" t="s">
        <v>16</v>
      </c>
      <c r="B139">
        <v>12.53</v>
      </c>
      <c r="C139">
        <v>5.51</v>
      </c>
      <c r="D139">
        <v>2.64</v>
      </c>
      <c r="E139">
        <v>25</v>
      </c>
      <c r="F139">
        <v>96</v>
      </c>
      <c r="G139">
        <v>1.79</v>
      </c>
      <c r="H139">
        <v>0.6</v>
      </c>
      <c r="I139">
        <v>0.63</v>
      </c>
      <c r="J139">
        <v>1.1000000000000001</v>
      </c>
      <c r="K139">
        <v>5</v>
      </c>
      <c r="L139">
        <v>0.82</v>
      </c>
      <c r="M139">
        <v>1.69</v>
      </c>
      <c r="N139">
        <v>515</v>
      </c>
      <c r="P139">
        <v>3</v>
      </c>
      <c r="Q139">
        <v>3</v>
      </c>
      <c r="W139">
        <v>-3.9253903353111355</v>
      </c>
      <c r="X139">
        <v>0.65783156935429155</v>
      </c>
      <c r="AC139" t="e">
        <f t="shared" si="12"/>
        <v>#N/A</v>
      </c>
      <c r="AD139" t="e">
        <f t="shared" si="12"/>
        <v>#N/A</v>
      </c>
      <c r="AE139">
        <f t="shared" si="12"/>
        <v>0.65783156935429155</v>
      </c>
      <c r="AG139" t="e">
        <f t="shared" si="13"/>
        <v>#N/A</v>
      </c>
      <c r="AH139" t="e">
        <f t="shared" si="13"/>
        <v>#N/A</v>
      </c>
      <c r="AI139">
        <f t="shared" si="13"/>
        <v>0.65783156935429155</v>
      </c>
    </row>
    <row r="140" spans="1:35" x14ac:dyDescent="0.25">
      <c r="A140" t="s">
        <v>16</v>
      </c>
      <c r="B140">
        <v>13.49</v>
      </c>
      <c r="C140">
        <v>3.59</v>
      </c>
      <c r="D140">
        <v>2.19</v>
      </c>
      <c r="E140">
        <v>19.5</v>
      </c>
      <c r="F140">
        <v>88</v>
      </c>
      <c r="G140">
        <v>1.62</v>
      </c>
      <c r="H140">
        <v>0.48</v>
      </c>
      <c r="I140">
        <v>0.57999999999999996</v>
      </c>
      <c r="J140">
        <v>0.88</v>
      </c>
      <c r="K140">
        <v>5.7</v>
      </c>
      <c r="L140">
        <v>0.81</v>
      </c>
      <c r="M140">
        <v>1.82</v>
      </c>
      <c r="N140">
        <v>580</v>
      </c>
      <c r="P140">
        <v>3</v>
      </c>
      <c r="Q140">
        <v>3</v>
      </c>
      <c r="W140">
        <v>-3.0855720889422029</v>
      </c>
      <c r="X140">
        <v>0.34786148357047197</v>
      </c>
      <c r="AC140" t="e">
        <f t="shared" si="12"/>
        <v>#N/A</v>
      </c>
      <c r="AD140" t="e">
        <f t="shared" si="12"/>
        <v>#N/A</v>
      </c>
      <c r="AE140">
        <f t="shared" si="12"/>
        <v>0.34786148357047197</v>
      </c>
      <c r="AG140" t="e">
        <f t="shared" si="13"/>
        <v>#N/A</v>
      </c>
      <c r="AH140" t="e">
        <f t="shared" si="13"/>
        <v>#N/A</v>
      </c>
      <c r="AI140">
        <f t="shared" si="13"/>
        <v>0.34786148357047197</v>
      </c>
    </row>
    <row r="141" spans="1:35" x14ac:dyDescent="0.25">
      <c r="A141" t="s">
        <v>16</v>
      </c>
      <c r="B141">
        <v>12.84</v>
      </c>
      <c r="C141">
        <v>2.96</v>
      </c>
      <c r="D141">
        <v>2.61</v>
      </c>
      <c r="E141">
        <v>24</v>
      </c>
      <c r="F141">
        <v>101</v>
      </c>
      <c r="G141">
        <v>2.3199999999999998</v>
      </c>
      <c r="H141">
        <v>0.6</v>
      </c>
      <c r="I141">
        <v>0.53</v>
      </c>
      <c r="J141">
        <v>0.81</v>
      </c>
      <c r="K141">
        <v>4.92</v>
      </c>
      <c r="L141">
        <v>0.89</v>
      </c>
      <c r="M141">
        <v>2.15</v>
      </c>
      <c r="N141">
        <v>590</v>
      </c>
      <c r="P141">
        <v>3</v>
      </c>
      <c r="Q141">
        <v>3</v>
      </c>
      <c r="W141">
        <v>-2.3677923696862262</v>
      </c>
      <c r="X141">
        <v>0.29115902676603489</v>
      </c>
      <c r="AC141" t="e">
        <f t="shared" si="12"/>
        <v>#N/A</v>
      </c>
      <c r="AD141" t="e">
        <f t="shared" si="12"/>
        <v>#N/A</v>
      </c>
      <c r="AE141">
        <f t="shared" si="12"/>
        <v>0.29115902676603489</v>
      </c>
      <c r="AG141" t="e">
        <f t="shared" si="13"/>
        <v>#N/A</v>
      </c>
      <c r="AH141" t="e">
        <f t="shared" si="13"/>
        <v>#N/A</v>
      </c>
      <c r="AI141">
        <f t="shared" si="13"/>
        <v>0.29115902676603489</v>
      </c>
    </row>
    <row r="142" spans="1:35" x14ac:dyDescent="0.25">
      <c r="A142" t="s">
        <v>16</v>
      </c>
      <c r="B142">
        <v>12.93</v>
      </c>
      <c r="C142">
        <v>2.81</v>
      </c>
      <c r="D142">
        <v>2.7</v>
      </c>
      <c r="E142">
        <v>21</v>
      </c>
      <c r="F142">
        <v>96</v>
      </c>
      <c r="G142">
        <v>1.54</v>
      </c>
      <c r="H142">
        <v>0.5</v>
      </c>
      <c r="I142">
        <v>0.53</v>
      </c>
      <c r="J142">
        <v>0.75</v>
      </c>
      <c r="K142">
        <v>4.5999999999999996</v>
      </c>
      <c r="L142">
        <v>0.77</v>
      </c>
      <c r="M142">
        <v>2.31</v>
      </c>
      <c r="N142">
        <v>600</v>
      </c>
      <c r="P142">
        <v>3</v>
      </c>
      <c r="Q142">
        <v>3</v>
      </c>
      <c r="W142">
        <v>-2.7709962994101827</v>
      </c>
      <c r="X142">
        <v>0.28599810639283474</v>
      </c>
      <c r="AC142" t="e">
        <f t="shared" si="12"/>
        <v>#N/A</v>
      </c>
      <c r="AD142" t="e">
        <f t="shared" si="12"/>
        <v>#N/A</v>
      </c>
      <c r="AE142">
        <f t="shared" si="12"/>
        <v>0.28599810639283474</v>
      </c>
      <c r="AG142" t="e">
        <f t="shared" si="13"/>
        <v>#N/A</v>
      </c>
      <c r="AH142" t="e">
        <f t="shared" si="13"/>
        <v>#N/A</v>
      </c>
      <c r="AI142">
        <f t="shared" si="13"/>
        <v>0.28599810639283474</v>
      </c>
    </row>
    <row r="143" spans="1:35" x14ac:dyDescent="0.25">
      <c r="A143" t="s">
        <v>16</v>
      </c>
      <c r="B143">
        <v>13.36</v>
      </c>
      <c r="C143">
        <v>2.56</v>
      </c>
      <c r="D143">
        <v>2.35</v>
      </c>
      <c r="E143">
        <v>20</v>
      </c>
      <c r="F143">
        <v>89</v>
      </c>
      <c r="G143">
        <v>1.4</v>
      </c>
      <c r="H143">
        <v>0.5</v>
      </c>
      <c r="I143">
        <v>0.37</v>
      </c>
      <c r="J143">
        <v>0.64</v>
      </c>
      <c r="K143">
        <v>5.6</v>
      </c>
      <c r="L143">
        <v>0.7</v>
      </c>
      <c r="M143">
        <v>2.4700000000000002</v>
      </c>
      <c r="N143">
        <v>780</v>
      </c>
      <c r="P143">
        <v>3</v>
      </c>
      <c r="Q143">
        <v>3</v>
      </c>
      <c r="W143">
        <v>-2.2801293134242067</v>
      </c>
      <c r="X143">
        <v>0.37146000052158307</v>
      </c>
      <c r="AC143" t="e">
        <f t="shared" si="12"/>
        <v>#N/A</v>
      </c>
      <c r="AD143" t="e">
        <f t="shared" si="12"/>
        <v>#N/A</v>
      </c>
      <c r="AE143">
        <f t="shared" si="12"/>
        <v>0.37146000052158307</v>
      </c>
      <c r="AG143" t="e">
        <f t="shared" si="13"/>
        <v>#N/A</v>
      </c>
      <c r="AH143" t="e">
        <f t="shared" si="13"/>
        <v>#N/A</v>
      </c>
      <c r="AI143">
        <f t="shared" si="13"/>
        <v>0.37146000052158307</v>
      </c>
    </row>
    <row r="144" spans="1:35" x14ac:dyDescent="0.25">
      <c r="A144" t="s">
        <v>16</v>
      </c>
      <c r="B144">
        <v>13.52</v>
      </c>
      <c r="C144">
        <v>3.17</v>
      </c>
      <c r="D144">
        <v>2.72</v>
      </c>
      <c r="E144">
        <v>23.5</v>
      </c>
      <c r="F144">
        <v>97</v>
      </c>
      <c r="G144">
        <v>1.55</v>
      </c>
      <c r="H144">
        <v>0.52</v>
      </c>
      <c r="I144">
        <v>0.5</v>
      </c>
      <c r="J144">
        <v>0.55000000000000004</v>
      </c>
      <c r="K144">
        <v>4.3499999999999996</v>
      </c>
      <c r="L144">
        <v>0.89</v>
      </c>
      <c r="M144">
        <v>2.06</v>
      </c>
      <c r="N144">
        <v>520</v>
      </c>
      <c r="P144">
        <v>3</v>
      </c>
      <c r="Q144">
        <v>3</v>
      </c>
      <c r="W144">
        <v>-2.977235064388382</v>
      </c>
      <c r="X144">
        <v>0.48784176515227756</v>
      </c>
      <c r="AC144" t="e">
        <f t="shared" si="12"/>
        <v>#N/A</v>
      </c>
      <c r="AD144" t="e">
        <f t="shared" si="12"/>
        <v>#N/A</v>
      </c>
      <c r="AE144">
        <f t="shared" si="12"/>
        <v>0.48784176515227756</v>
      </c>
      <c r="AG144" t="e">
        <f t="shared" si="13"/>
        <v>#N/A</v>
      </c>
      <c r="AH144" t="e">
        <f t="shared" si="13"/>
        <v>#N/A</v>
      </c>
      <c r="AI144">
        <f t="shared" si="13"/>
        <v>0.48784176515227756</v>
      </c>
    </row>
    <row r="145" spans="1:35" x14ac:dyDescent="0.25">
      <c r="A145" t="s">
        <v>16</v>
      </c>
      <c r="B145">
        <v>13.62</v>
      </c>
      <c r="C145">
        <v>4.95</v>
      </c>
      <c r="D145">
        <v>2.35</v>
      </c>
      <c r="E145">
        <v>20</v>
      </c>
      <c r="F145">
        <v>92</v>
      </c>
      <c r="G145">
        <v>2</v>
      </c>
      <c r="H145">
        <v>0.8</v>
      </c>
      <c r="I145">
        <v>0.47</v>
      </c>
      <c r="J145">
        <v>1.02</v>
      </c>
      <c r="K145">
        <v>4.4000000000000004</v>
      </c>
      <c r="L145">
        <v>0.91</v>
      </c>
      <c r="M145">
        <v>2.0499999999999998</v>
      </c>
      <c r="N145">
        <v>550</v>
      </c>
      <c r="P145">
        <v>3</v>
      </c>
      <c r="Q145">
        <v>3</v>
      </c>
      <c r="W145">
        <v>-2.3685134059352539</v>
      </c>
      <c r="X145">
        <v>0.48097693889892235</v>
      </c>
      <c r="AC145" t="e">
        <f t="shared" si="12"/>
        <v>#N/A</v>
      </c>
      <c r="AD145" t="e">
        <f t="shared" si="12"/>
        <v>#N/A</v>
      </c>
      <c r="AE145">
        <f t="shared" si="12"/>
        <v>0.48097693889892235</v>
      </c>
      <c r="AG145" t="e">
        <f t="shared" si="13"/>
        <v>#N/A</v>
      </c>
      <c r="AH145" t="e">
        <f t="shared" si="13"/>
        <v>#N/A</v>
      </c>
      <c r="AI145">
        <f t="shared" si="13"/>
        <v>0.48097693889892235</v>
      </c>
    </row>
    <row r="146" spans="1:35" x14ac:dyDescent="0.25">
      <c r="A146" t="s">
        <v>16</v>
      </c>
      <c r="B146">
        <v>12.25</v>
      </c>
      <c r="C146">
        <v>3.88</v>
      </c>
      <c r="D146">
        <v>2.2000000000000002</v>
      </c>
      <c r="E146">
        <v>18.5</v>
      </c>
      <c r="F146">
        <v>112</v>
      </c>
      <c r="G146">
        <v>1.38</v>
      </c>
      <c r="H146">
        <v>0.78</v>
      </c>
      <c r="I146">
        <v>0.28999999999999998</v>
      </c>
      <c r="J146">
        <v>1.1399999999999999</v>
      </c>
      <c r="K146">
        <v>8.2100000000000009</v>
      </c>
      <c r="L146">
        <v>0.65</v>
      </c>
      <c r="M146">
        <v>2</v>
      </c>
      <c r="N146">
        <v>855</v>
      </c>
      <c r="P146">
        <v>3</v>
      </c>
      <c r="Q146">
        <v>3</v>
      </c>
      <c r="W146">
        <v>-2.2036492951988729</v>
      </c>
      <c r="X146">
        <v>1.1567893404319456</v>
      </c>
      <c r="AC146" t="e">
        <f t="shared" si="12"/>
        <v>#N/A</v>
      </c>
      <c r="AD146" t="e">
        <f t="shared" si="12"/>
        <v>#N/A</v>
      </c>
      <c r="AE146">
        <f t="shared" si="12"/>
        <v>1.1567893404319456</v>
      </c>
      <c r="AG146" t="e">
        <f t="shared" si="13"/>
        <v>#N/A</v>
      </c>
      <c r="AH146" t="e">
        <f t="shared" si="13"/>
        <v>#N/A</v>
      </c>
      <c r="AI146">
        <f t="shared" si="13"/>
        <v>1.1567893404319456</v>
      </c>
    </row>
    <row r="147" spans="1:35" x14ac:dyDescent="0.25">
      <c r="A147" t="s">
        <v>16</v>
      </c>
      <c r="B147">
        <v>13.16</v>
      </c>
      <c r="C147">
        <v>3.57</v>
      </c>
      <c r="D147">
        <v>2.15</v>
      </c>
      <c r="E147">
        <v>21</v>
      </c>
      <c r="F147">
        <v>102</v>
      </c>
      <c r="G147">
        <v>1.5</v>
      </c>
      <c r="H147">
        <v>0.55000000000000004</v>
      </c>
      <c r="I147">
        <v>0.43</v>
      </c>
      <c r="J147">
        <v>1.3</v>
      </c>
      <c r="K147">
        <v>4</v>
      </c>
      <c r="L147">
        <v>0.6</v>
      </c>
      <c r="M147">
        <v>1.68</v>
      </c>
      <c r="N147">
        <v>830</v>
      </c>
      <c r="P147">
        <v>3</v>
      </c>
      <c r="Q147">
        <v>3</v>
      </c>
      <c r="W147">
        <v>-2.6182352769967712</v>
      </c>
      <c r="X147">
        <v>0.56157662404357611</v>
      </c>
      <c r="AC147" t="e">
        <f t="shared" si="12"/>
        <v>#N/A</v>
      </c>
      <c r="AD147" t="e">
        <f t="shared" si="12"/>
        <v>#N/A</v>
      </c>
      <c r="AE147">
        <f t="shared" si="12"/>
        <v>0.56157662404357611</v>
      </c>
      <c r="AG147" t="e">
        <f t="shared" si="13"/>
        <v>#N/A</v>
      </c>
      <c r="AH147" t="e">
        <f t="shared" si="13"/>
        <v>#N/A</v>
      </c>
      <c r="AI147">
        <f t="shared" si="13"/>
        <v>0.56157662404357611</v>
      </c>
    </row>
    <row r="148" spans="1:35" x14ac:dyDescent="0.25">
      <c r="A148" t="s">
        <v>16</v>
      </c>
      <c r="B148">
        <v>13.88</v>
      </c>
      <c r="C148">
        <v>5.04</v>
      </c>
      <c r="D148">
        <v>2.23</v>
      </c>
      <c r="E148">
        <v>20</v>
      </c>
      <c r="F148">
        <v>80</v>
      </c>
      <c r="G148">
        <v>0.98</v>
      </c>
      <c r="H148">
        <v>0.34</v>
      </c>
      <c r="I148">
        <v>0.4</v>
      </c>
      <c r="J148">
        <v>0.68</v>
      </c>
      <c r="K148">
        <v>4.9000000000000004</v>
      </c>
      <c r="L148">
        <v>0.57999999999999996</v>
      </c>
      <c r="M148">
        <v>1.33</v>
      </c>
      <c r="N148">
        <v>415</v>
      </c>
      <c r="P148">
        <v>3</v>
      </c>
      <c r="Q148">
        <v>3</v>
      </c>
      <c r="W148">
        <v>-4.2685975768993671</v>
      </c>
      <c r="X148">
        <v>0.6478434752647142</v>
      </c>
      <c r="AC148" t="e">
        <f t="shared" si="12"/>
        <v>#N/A</v>
      </c>
      <c r="AD148" t="e">
        <f t="shared" si="12"/>
        <v>#N/A</v>
      </c>
      <c r="AE148">
        <f t="shared" si="12"/>
        <v>0.6478434752647142</v>
      </c>
      <c r="AG148" t="e">
        <f t="shared" si="13"/>
        <v>#N/A</v>
      </c>
      <c r="AH148" t="e">
        <f t="shared" si="13"/>
        <v>#N/A</v>
      </c>
      <c r="AI148">
        <f t="shared" si="13"/>
        <v>0.6478434752647142</v>
      </c>
    </row>
    <row r="149" spans="1:35" x14ac:dyDescent="0.25">
      <c r="A149" t="s">
        <v>16</v>
      </c>
      <c r="B149">
        <v>12.87</v>
      </c>
      <c r="C149">
        <v>4.6100000000000003</v>
      </c>
      <c r="D149">
        <v>2.48</v>
      </c>
      <c r="E149">
        <v>21.5</v>
      </c>
      <c r="F149">
        <v>86</v>
      </c>
      <c r="G149">
        <v>1.7</v>
      </c>
      <c r="H149">
        <v>0.65</v>
      </c>
      <c r="I149">
        <v>0.47</v>
      </c>
      <c r="J149">
        <v>0.86</v>
      </c>
      <c r="K149">
        <v>7.65</v>
      </c>
      <c r="L149">
        <v>0.54</v>
      </c>
      <c r="M149">
        <v>1.86</v>
      </c>
      <c r="N149">
        <v>625</v>
      </c>
      <c r="P149">
        <v>3</v>
      </c>
      <c r="Q149">
        <v>3</v>
      </c>
      <c r="W149">
        <v>-3.5725635985236011</v>
      </c>
      <c r="X149">
        <v>1.26912270664937</v>
      </c>
      <c r="AC149" t="e">
        <f t="shared" si="12"/>
        <v>#N/A</v>
      </c>
      <c r="AD149" t="e">
        <f t="shared" si="12"/>
        <v>#N/A</v>
      </c>
      <c r="AE149">
        <f t="shared" si="12"/>
        <v>1.26912270664937</v>
      </c>
      <c r="AG149" t="e">
        <f t="shared" si="13"/>
        <v>#N/A</v>
      </c>
      <c r="AH149" t="e">
        <f t="shared" si="13"/>
        <v>#N/A</v>
      </c>
      <c r="AI149">
        <f t="shared" si="13"/>
        <v>1.26912270664937</v>
      </c>
    </row>
    <row r="150" spans="1:35" x14ac:dyDescent="0.25">
      <c r="A150" t="s">
        <v>16</v>
      </c>
      <c r="B150">
        <v>13.32</v>
      </c>
      <c r="C150">
        <v>3.24</v>
      </c>
      <c r="D150">
        <v>2.38</v>
      </c>
      <c r="E150">
        <v>21.5</v>
      </c>
      <c r="F150">
        <v>92</v>
      </c>
      <c r="G150">
        <v>1.93</v>
      </c>
      <c r="H150">
        <v>0.76</v>
      </c>
      <c r="I150">
        <v>0.45</v>
      </c>
      <c r="J150">
        <v>1.25</v>
      </c>
      <c r="K150">
        <v>8.42</v>
      </c>
      <c r="L150">
        <v>0.55000000000000004</v>
      </c>
      <c r="M150">
        <v>1.62</v>
      </c>
      <c r="N150">
        <v>650</v>
      </c>
      <c r="P150">
        <v>3</v>
      </c>
      <c r="Q150">
        <v>3</v>
      </c>
      <c r="W150">
        <v>-2.799167603962081</v>
      </c>
      <c r="X150">
        <v>1.5661159616753304</v>
      </c>
      <c r="AC150" t="e">
        <f t="shared" si="12"/>
        <v>#N/A</v>
      </c>
      <c r="AD150" t="e">
        <f t="shared" si="12"/>
        <v>#N/A</v>
      </c>
      <c r="AE150">
        <f t="shared" si="12"/>
        <v>1.5661159616753304</v>
      </c>
      <c r="AG150" t="e">
        <f t="shared" si="13"/>
        <v>#N/A</v>
      </c>
      <c r="AH150" t="e">
        <f t="shared" si="13"/>
        <v>#N/A</v>
      </c>
      <c r="AI150">
        <f t="shared" si="13"/>
        <v>1.5661159616753304</v>
      </c>
    </row>
    <row r="151" spans="1:35" x14ac:dyDescent="0.25">
      <c r="A151" t="s">
        <v>16</v>
      </c>
      <c r="B151">
        <v>13.08</v>
      </c>
      <c r="C151">
        <v>3.9</v>
      </c>
      <c r="D151">
        <v>2.36</v>
      </c>
      <c r="E151">
        <v>21.5</v>
      </c>
      <c r="F151">
        <v>113</v>
      </c>
      <c r="G151">
        <v>1.41</v>
      </c>
      <c r="H151">
        <v>1.39</v>
      </c>
      <c r="I151">
        <v>0.34</v>
      </c>
      <c r="J151">
        <v>1.1399999999999999</v>
      </c>
      <c r="K151">
        <v>9.4</v>
      </c>
      <c r="L151">
        <v>0.56999999999999995</v>
      </c>
      <c r="M151">
        <v>1.33</v>
      </c>
      <c r="N151">
        <v>550</v>
      </c>
      <c r="P151">
        <v>3</v>
      </c>
      <c r="Q151">
        <v>3</v>
      </c>
      <c r="W151">
        <v>-2.8915027505064335</v>
      </c>
      <c r="X151">
        <v>2.0353156268901076</v>
      </c>
      <c r="AC151" t="e">
        <f t="shared" si="12"/>
        <v>#N/A</v>
      </c>
      <c r="AD151" t="e">
        <f t="shared" si="12"/>
        <v>#N/A</v>
      </c>
      <c r="AE151">
        <f t="shared" si="12"/>
        <v>2.0353156268901076</v>
      </c>
      <c r="AG151" t="e">
        <f t="shared" si="13"/>
        <v>#N/A</v>
      </c>
      <c r="AH151" t="e">
        <f t="shared" si="13"/>
        <v>#N/A</v>
      </c>
      <c r="AI151">
        <f t="shared" si="13"/>
        <v>2.0353156268901076</v>
      </c>
    </row>
    <row r="152" spans="1:35" x14ac:dyDescent="0.25">
      <c r="A152" t="s">
        <v>16</v>
      </c>
      <c r="B152">
        <v>13.5</v>
      </c>
      <c r="C152">
        <v>3.12</v>
      </c>
      <c r="D152">
        <v>2.62</v>
      </c>
      <c r="E152">
        <v>24</v>
      </c>
      <c r="F152">
        <v>123</v>
      </c>
      <c r="G152">
        <v>1.4</v>
      </c>
      <c r="H152">
        <v>1.57</v>
      </c>
      <c r="I152">
        <v>0.22</v>
      </c>
      <c r="J152">
        <v>1.25</v>
      </c>
      <c r="K152">
        <v>8.6</v>
      </c>
      <c r="L152">
        <v>0.59</v>
      </c>
      <c r="M152">
        <v>1.3</v>
      </c>
      <c r="N152">
        <v>500</v>
      </c>
      <c r="P152">
        <v>3</v>
      </c>
      <c r="Q152">
        <v>3</v>
      </c>
      <c r="W152">
        <v>-2.314208870842168</v>
      </c>
      <c r="X152">
        <v>2.3497377475893639</v>
      </c>
      <c r="AC152" t="e">
        <f t="shared" si="12"/>
        <v>#N/A</v>
      </c>
      <c r="AD152" t="e">
        <f t="shared" si="12"/>
        <v>#N/A</v>
      </c>
      <c r="AE152">
        <f t="shared" si="12"/>
        <v>2.3497377475893639</v>
      </c>
      <c r="AG152" t="e">
        <f t="shared" si="13"/>
        <v>#N/A</v>
      </c>
      <c r="AH152" t="e">
        <f t="shared" si="13"/>
        <v>#N/A</v>
      </c>
      <c r="AI152">
        <f t="shared" si="13"/>
        <v>2.3497377475893639</v>
      </c>
    </row>
    <row r="153" spans="1:35" x14ac:dyDescent="0.25">
      <c r="A153" t="s">
        <v>16</v>
      </c>
      <c r="B153">
        <v>12.79</v>
      </c>
      <c r="C153">
        <v>2.67</v>
      </c>
      <c r="D153">
        <v>2.48</v>
      </c>
      <c r="E153">
        <v>22</v>
      </c>
      <c r="F153">
        <v>112</v>
      </c>
      <c r="G153">
        <v>1.48</v>
      </c>
      <c r="H153">
        <v>1.36</v>
      </c>
      <c r="I153">
        <v>0.24</v>
      </c>
      <c r="J153">
        <v>1.26</v>
      </c>
      <c r="K153">
        <v>10.8</v>
      </c>
      <c r="L153">
        <v>0.48</v>
      </c>
      <c r="M153">
        <v>1.47</v>
      </c>
      <c r="N153">
        <v>480</v>
      </c>
      <c r="P153">
        <v>3</v>
      </c>
      <c r="Q153">
        <v>3</v>
      </c>
      <c r="W153">
        <v>-2.5426584127565302</v>
      </c>
      <c r="X153">
        <v>2.0395298222866542</v>
      </c>
      <c r="AC153" t="e">
        <f t="shared" si="12"/>
        <v>#N/A</v>
      </c>
      <c r="AD153" t="e">
        <f t="shared" si="12"/>
        <v>#N/A</v>
      </c>
      <c r="AE153">
        <f t="shared" si="12"/>
        <v>2.0395298222866542</v>
      </c>
      <c r="AG153" t="e">
        <f t="shared" si="13"/>
        <v>#N/A</v>
      </c>
      <c r="AH153" t="e">
        <f t="shared" si="13"/>
        <v>#N/A</v>
      </c>
      <c r="AI153">
        <f t="shared" si="13"/>
        <v>2.0395298222866542</v>
      </c>
    </row>
    <row r="154" spans="1:35" x14ac:dyDescent="0.25">
      <c r="A154" t="s">
        <v>16</v>
      </c>
      <c r="B154">
        <v>13.11</v>
      </c>
      <c r="C154">
        <v>1.9</v>
      </c>
      <c r="D154">
        <v>2.75</v>
      </c>
      <c r="E154">
        <v>25.5</v>
      </c>
      <c r="F154">
        <v>116</v>
      </c>
      <c r="G154">
        <v>2.2000000000000002</v>
      </c>
      <c r="H154">
        <v>1.28</v>
      </c>
      <c r="I154">
        <v>0.26</v>
      </c>
      <c r="J154">
        <v>1.56</v>
      </c>
      <c r="K154">
        <v>7.1</v>
      </c>
      <c r="L154">
        <v>0.61</v>
      </c>
      <c r="M154">
        <v>1.33</v>
      </c>
      <c r="N154">
        <v>425</v>
      </c>
      <c r="P154">
        <v>3</v>
      </c>
      <c r="Q154">
        <v>3</v>
      </c>
      <c r="W154">
        <v>-1.8074427057166964</v>
      </c>
      <c r="X154">
        <v>1.5233487624107107</v>
      </c>
      <c r="AC154" t="e">
        <f t="shared" si="12"/>
        <v>#N/A</v>
      </c>
      <c r="AD154" t="e">
        <f t="shared" si="12"/>
        <v>#N/A</v>
      </c>
      <c r="AE154">
        <f t="shared" si="12"/>
        <v>1.5233487624107107</v>
      </c>
      <c r="AG154" t="e">
        <f t="shared" si="13"/>
        <v>#N/A</v>
      </c>
      <c r="AH154" t="e">
        <f t="shared" si="13"/>
        <v>#N/A</v>
      </c>
      <c r="AI154">
        <f t="shared" si="13"/>
        <v>1.5233487624107107</v>
      </c>
    </row>
    <row r="155" spans="1:35" x14ac:dyDescent="0.25">
      <c r="A155" t="s">
        <v>16</v>
      </c>
      <c r="B155">
        <v>13.23</v>
      </c>
      <c r="C155">
        <v>3.3</v>
      </c>
      <c r="D155">
        <v>2.2799999999999998</v>
      </c>
      <c r="E155">
        <v>18.5</v>
      </c>
      <c r="F155">
        <v>98</v>
      </c>
      <c r="G155">
        <v>1.8</v>
      </c>
      <c r="H155">
        <v>0.83</v>
      </c>
      <c r="I155">
        <v>0.61</v>
      </c>
      <c r="J155">
        <v>1.87</v>
      </c>
      <c r="K155">
        <v>10.52</v>
      </c>
      <c r="L155">
        <v>0.56000000000000005</v>
      </c>
      <c r="M155">
        <v>1.51</v>
      </c>
      <c r="N155">
        <v>675</v>
      </c>
      <c r="P155">
        <v>3</v>
      </c>
      <c r="Q155">
        <v>3</v>
      </c>
      <c r="W155">
        <v>-2.7523805065970306</v>
      </c>
      <c r="X155">
        <v>2.1329156482782294</v>
      </c>
      <c r="AC155" t="e">
        <f t="shared" si="12"/>
        <v>#N/A</v>
      </c>
      <c r="AD155" t="e">
        <f t="shared" si="12"/>
        <v>#N/A</v>
      </c>
      <c r="AE155">
        <f t="shared" si="12"/>
        <v>2.1329156482782294</v>
      </c>
      <c r="AG155" t="e">
        <f t="shared" si="13"/>
        <v>#N/A</v>
      </c>
      <c r="AH155" t="e">
        <f t="shared" si="13"/>
        <v>#N/A</v>
      </c>
      <c r="AI155">
        <f t="shared" si="13"/>
        <v>2.1329156482782294</v>
      </c>
    </row>
    <row r="156" spans="1:35" x14ac:dyDescent="0.25">
      <c r="A156" t="s">
        <v>16</v>
      </c>
      <c r="B156">
        <v>12.58</v>
      </c>
      <c r="C156">
        <v>1.29</v>
      </c>
      <c r="D156">
        <v>2.1</v>
      </c>
      <c r="E156">
        <v>20</v>
      </c>
      <c r="F156">
        <v>103</v>
      </c>
      <c r="G156">
        <v>1.48</v>
      </c>
      <c r="H156">
        <v>0.57999999999999996</v>
      </c>
      <c r="I156">
        <v>0.53</v>
      </c>
      <c r="J156">
        <v>1.4</v>
      </c>
      <c r="K156">
        <v>7.6</v>
      </c>
      <c r="L156">
        <v>0.57999999999999996</v>
      </c>
      <c r="M156">
        <v>1.55</v>
      </c>
      <c r="N156">
        <v>640</v>
      </c>
      <c r="P156">
        <v>3</v>
      </c>
      <c r="Q156">
        <v>3</v>
      </c>
      <c r="W156">
        <v>-2.7294510466249071</v>
      </c>
      <c r="X156">
        <v>0.40873328335776576</v>
      </c>
      <c r="AC156" t="e">
        <f t="shared" si="12"/>
        <v>#N/A</v>
      </c>
      <c r="AD156" t="e">
        <f t="shared" si="12"/>
        <v>#N/A</v>
      </c>
      <c r="AE156">
        <f t="shared" si="12"/>
        <v>0.40873328335776576</v>
      </c>
      <c r="AG156" t="e">
        <f t="shared" si="13"/>
        <v>#N/A</v>
      </c>
      <c r="AH156" t="e">
        <f t="shared" si="13"/>
        <v>#N/A</v>
      </c>
      <c r="AI156">
        <f t="shared" si="13"/>
        <v>0.40873328335776576</v>
      </c>
    </row>
    <row r="157" spans="1:35" x14ac:dyDescent="0.25">
      <c r="A157" t="s">
        <v>16</v>
      </c>
      <c r="B157">
        <v>13.17</v>
      </c>
      <c r="C157">
        <v>5.19</v>
      </c>
      <c r="D157">
        <v>2.3199999999999998</v>
      </c>
      <c r="E157">
        <v>22</v>
      </c>
      <c r="F157">
        <v>93</v>
      </c>
      <c r="G157">
        <v>1.74</v>
      </c>
      <c r="H157">
        <v>0.63</v>
      </c>
      <c r="I157">
        <v>0.61</v>
      </c>
      <c r="J157">
        <v>1.55</v>
      </c>
      <c r="K157">
        <v>7.9</v>
      </c>
      <c r="L157">
        <v>0.6</v>
      </c>
      <c r="M157">
        <v>1.48</v>
      </c>
      <c r="N157">
        <v>725</v>
      </c>
      <c r="P157">
        <v>3</v>
      </c>
      <c r="Q157">
        <v>3</v>
      </c>
      <c r="W157">
        <v>-3.5947285699791087</v>
      </c>
      <c r="X157">
        <v>1.7973142096492989</v>
      </c>
      <c r="AC157" t="e">
        <f t="shared" si="12"/>
        <v>#N/A</v>
      </c>
      <c r="AD157" t="e">
        <f t="shared" si="12"/>
        <v>#N/A</v>
      </c>
      <c r="AE157">
        <f t="shared" si="12"/>
        <v>1.7973142096492989</v>
      </c>
      <c r="AG157" t="e">
        <f t="shared" si="13"/>
        <v>#N/A</v>
      </c>
      <c r="AH157" t="e">
        <f t="shared" si="13"/>
        <v>#N/A</v>
      </c>
      <c r="AI157">
        <f t="shared" si="13"/>
        <v>1.7973142096492989</v>
      </c>
    </row>
    <row r="158" spans="1:35" x14ac:dyDescent="0.25">
      <c r="A158" t="s">
        <v>16</v>
      </c>
      <c r="B158">
        <v>13.84</v>
      </c>
      <c r="C158">
        <v>4.12</v>
      </c>
      <c r="D158">
        <v>2.38</v>
      </c>
      <c r="E158">
        <v>19.5</v>
      </c>
      <c r="F158">
        <v>89</v>
      </c>
      <c r="G158">
        <v>1.8</v>
      </c>
      <c r="H158">
        <v>0.83</v>
      </c>
      <c r="I158">
        <v>0.48</v>
      </c>
      <c r="J158">
        <v>1.56</v>
      </c>
      <c r="K158">
        <v>9.01</v>
      </c>
      <c r="L158">
        <v>0.56999999999999995</v>
      </c>
      <c r="M158">
        <v>1.64</v>
      </c>
      <c r="N158">
        <v>480</v>
      </c>
      <c r="P158">
        <v>3</v>
      </c>
      <c r="Q158">
        <v>3</v>
      </c>
      <c r="W158">
        <v>-2.8816970750077675</v>
      </c>
      <c r="X158">
        <v>1.9198030787874765</v>
      </c>
      <c r="AC158" t="e">
        <f t="shared" si="12"/>
        <v>#N/A</v>
      </c>
      <c r="AD158" t="e">
        <f t="shared" si="12"/>
        <v>#N/A</v>
      </c>
      <c r="AE158">
        <f t="shared" si="12"/>
        <v>1.9198030787874765</v>
      </c>
      <c r="AG158" t="e">
        <f t="shared" si="13"/>
        <v>#N/A</v>
      </c>
      <c r="AH158" t="e">
        <f t="shared" si="13"/>
        <v>#N/A</v>
      </c>
      <c r="AI158">
        <f t="shared" si="13"/>
        <v>1.9198030787874765</v>
      </c>
    </row>
    <row r="159" spans="1:35" x14ac:dyDescent="0.25">
      <c r="A159" t="s">
        <v>16</v>
      </c>
      <c r="B159">
        <v>12.45</v>
      </c>
      <c r="C159">
        <v>3.03</v>
      </c>
      <c r="D159">
        <v>2.64</v>
      </c>
      <c r="E159">
        <v>27</v>
      </c>
      <c r="F159">
        <v>97</v>
      </c>
      <c r="G159">
        <v>1.9</v>
      </c>
      <c r="H159">
        <v>0.57999999999999996</v>
      </c>
      <c r="I159">
        <v>0.63</v>
      </c>
      <c r="J159">
        <v>1.1399999999999999</v>
      </c>
      <c r="K159">
        <v>7.5</v>
      </c>
      <c r="L159">
        <v>0.67</v>
      </c>
      <c r="M159">
        <v>1.73</v>
      </c>
      <c r="N159">
        <v>880</v>
      </c>
      <c r="P159">
        <v>3</v>
      </c>
      <c r="Q159">
        <v>3</v>
      </c>
      <c r="W159">
        <v>-3.382614128051983</v>
      </c>
      <c r="X159">
        <v>1.30818615209726</v>
      </c>
      <c r="AC159" t="e">
        <f t="shared" si="12"/>
        <v>#N/A</v>
      </c>
      <c r="AD159" t="e">
        <f t="shared" si="12"/>
        <v>#N/A</v>
      </c>
      <c r="AE159">
        <f t="shared" si="12"/>
        <v>1.30818615209726</v>
      </c>
      <c r="AG159" t="e">
        <f t="shared" si="13"/>
        <v>#N/A</v>
      </c>
      <c r="AH159" t="e">
        <f t="shared" si="13"/>
        <v>#N/A</v>
      </c>
      <c r="AI159">
        <f t="shared" si="13"/>
        <v>1.30818615209726</v>
      </c>
    </row>
    <row r="160" spans="1:35" x14ac:dyDescent="0.25">
      <c r="A160" t="s">
        <v>16</v>
      </c>
      <c r="B160">
        <v>14.34</v>
      </c>
      <c r="C160">
        <v>1.68</v>
      </c>
      <c r="D160">
        <v>2.7</v>
      </c>
      <c r="E160">
        <v>25</v>
      </c>
      <c r="F160">
        <v>98</v>
      </c>
      <c r="G160">
        <v>2.8</v>
      </c>
      <c r="H160">
        <v>1.31</v>
      </c>
      <c r="I160">
        <v>0.53</v>
      </c>
      <c r="J160">
        <v>2.7</v>
      </c>
      <c r="K160">
        <v>13</v>
      </c>
      <c r="L160">
        <v>0.56999999999999995</v>
      </c>
      <c r="M160">
        <v>1.96</v>
      </c>
      <c r="N160">
        <v>660</v>
      </c>
      <c r="P160">
        <v>3</v>
      </c>
      <c r="Q160">
        <v>3</v>
      </c>
      <c r="W160">
        <v>-1.045233418743071</v>
      </c>
      <c r="X160">
        <v>3.5052019367975213</v>
      </c>
      <c r="AC160" t="e">
        <f t="shared" si="12"/>
        <v>#N/A</v>
      </c>
      <c r="AD160" t="e">
        <f t="shared" si="12"/>
        <v>#N/A</v>
      </c>
      <c r="AE160">
        <f t="shared" si="12"/>
        <v>3.5052019367975213</v>
      </c>
      <c r="AG160" t="e">
        <f t="shared" si="13"/>
        <v>#N/A</v>
      </c>
      <c r="AH160" t="e">
        <f t="shared" si="13"/>
        <v>#N/A</v>
      </c>
      <c r="AI160">
        <f t="shared" si="13"/>
        <v>3.5052019367975213</v>
      </c>
    </row>
    <row r="161" spans="1:35" x14ac:dyDescent="0.25">
      <c r="A161" t="s">
        <v>16</v>
      </c>
      <c r="B161">
        <v>13.48</v>
      </c>
      <c r="C161">
        <v>1.67</v>
      </c>
      <c r="D161">
        <v>2.64</v>
      </c>
      <c r="E161">
        <v>22.5</v>
      </c>
      <c r="F161">
        <v>89</v>
      </c>
      <c r="G161">
        <v>2.6</v>
      </c>
      <c r="H161">
        <v>1.1000000000000001</v>
      </c>
      <c r="I161">
        <v>0.52</v>
      </c>
      <c r="J161">
        <v>2.29</v>
      </c>
      <c r="K161">
        <v>11.75</v>
      </c>
      <c r="L161">
        <v>0.56999999999999995</v>
      </c>
      <c r="M161">
        <v>1.78</v>
      </c>
      <c r="N161">
        <v>620</v>
      </c>
      <c r="P161">
        <v>3</v>
      </c>
      <c r="Q161">
        <v>3</v>
      </c>
      <c r="W161">
        <v>-1.6053836879927457</v>
      </c>
      <c r="X161">
        <v>2.3998684183860632</v>
      </c>
      <c r="AC161" t="e">
        <f t="shared" si="12"/>
        <v>#N/A</v>
      </c>
      <c r="AD161" t="e">
        <f t="shared" si="12"/>
        <v>#N/A</v>
      </c>
      <c r="AE161">
        <f t="shared" si="12"/>
        <v>2.3998684183860632</v>
      </c>
      <c r="AG161" t="e">
        <f t="shared" si="13"/>
        <v>#N/A</v>
      </c>
      <c r="AH161" t="e">
        <f t="shared" si="13"/>
        <v>#N/A</v>
      </c>
      <c r="AI161">
        <f t="shared" si="13"/>
        <v>2.3998684183860632</v>
      </c>
    </row>
    <row r="162" spans="1:35" x14ac:dyDescent="0.25">
      <c r="A162" t="s">
        <v>16</v>
      </c>
      <c r="B162">
        <v>12.36</v>
      </c>
      <c r="C162">
        <v>3.83</v>
      </c>
      <c r="D162">
        <v>2.38</v>
      </c>
      <c r="E162">
        <v>21</v>
      </c>
      <c r="F162">
        <v>88</v>
      </c>
      <c r="G162">
        <v>2.2999999999999998</v>
      </c>
      <c r="H162">
        <v>0.92</v>
      </c>
      <c r="I162">
        <v>0.5</v>
      </c>
      <c r="J162">
        <v>1.04</v>
      </c>
      <c r="K162">
        <v>7.65</v>
      </c>
      <c r="L162">
        <v>0.56000000000000005</v>
      </c>
      <c r="M162">
        <v>1.58</v>
      </c>
      <c r="N162">
        <v>520</v>
      </c>
      <c r="P162">
        <v>3</v>
      </c>
      <c r="Q162">
        <v>3</v>
      </c>
      <c r="W162">
        <v>-3.1342895118863989</v>
      </c>
      <c r="X162">
        <v>0.73608463753806297</v>
      </c>
      <c r="AC162" t="e">
        <f t="shared" si="12"/>
        <v>#N/A</v>
      </c>
      <c r="AD162" t="e">
        <f t="shared" si="12"/>
        <v>#N/A</v>
      </c>
      <c r="AE162">
        <f t="shared" si="12"/>
        <v>0.73608463753806297</v>
      </c>
      <c r="AG162" t="e">
        <f t="shared" si="13"/>
        <v>#N/A</v>
      </c>
      <c r="AH162" t="e">
        <f t="shared" si="13"/>
        <v>#N/A</v>
      </c>
      <c r="AI162">
        <f t="shared" si="13"/>
        <v>0.73608463753806297</v>
      </c>
    </row>
    <row r="163" spans="1:35" x14ac:dyDescent="0.25">
      <c r="A163" t="s">
        <v>16</v>
      </c>
      <c r="B163">
        <v>13.69</v>
      </c>
      <c r="C163">
        <v>3.26</v>
      </c>
      <c r="D163">
        <v>2.54</v>
      </c>
      <c r="E163">
        <v>20</v>
      </c>
      <c r="F163">
        <v>107</v>
      </c>
      <c r="G163">
        <v>1.83</v>
      </c>
      <c r="H163">
        <v>0.56000000000000005</v>
      </c>
      <c r="I163">
        <v>0.5</v>
      </c>
      <c r="J163">
        <v>0.8</v>
      </c>
      <c r="K163">
        <v>5.88</v>
      </c>
      <c r="L163">
        <v>0.96</v>
      </c>
      <c r="M163">
        <v>1.82</v>
      </c>
      <c r="N163">
        <v>680</v>
      </c>
      <c r="P163">
        <v>3</v>
      </c>
      <c r="Q163">
        <v>3</v>
      </c>
      <c r="W163">
        <v>-2.2338554579094327</v>
      </c>
      <c r="X163">
        <v>1.1721587687669004</v>
      </c>
      <c r="AC163" t="e">
        <f t="shared" ref="AC163:AE179" si="14">IF($A163=AC$1,$X163,NA())</f>
        <v>#N/A</v>
      </c>
      <c r="AD163" t="e">
        <f t="shared" si="14"/>
        <v>#N/A</v>
      </c>
      <c r="AE163">
        <f t="shared" si="14"/>
        <v>1.1721587687669004</v>
      </c>
      <c r="AG163" t="e">
        <f t="shared" ref="AG163:AI179" si="15">IF($P163=AG$1,$X163,NA())</f>
        <v>#N/A</v>
      </c>
      <c r="AH163" t="e">
        <f t="shared" si="15"/>
        <v>#N/A</v>
      </c>
      <c r="AI163">
        <f t="shared" si="15"/>
        <v>1.1721587687669004</v>
      </c>
    </row>
    <row r="164" spans="1:35" x14ac:dyDescent="0.25">
      <c r="A164" t="s">
        <v>16</v>
      </c>
      <c r="B164">
        <v>12.85</v>
      </c>
      <c r="C164">
        <v>3.27</v>
      </c>
      <c r="D164">
        <v>2.58</v>
      </c>
      <c r="E164">
        <v>22</v>
      </c>
      <c r="F164">
        <v>106</v>
      </c>
      <c r="G164">
        <v>1.65</v>
      </c>
      <c r="H164">
        <v>0.6</v>
      </c>
      <c r="I164">
        <v>0.6</v>
      </c>
      <c r="J164">
        <v>0.96</v>
      </c>
      <c r="K164">
        <v>5.58</v>
      </c>
      <c r="L164">
        <v>0.87</v>
      </c>
      <c r="M164">
        <v>2.11</v>
      </c>
      <c r="N164">
        <v>570</v>
      </c>
      <c r="P164">
        <v>3</v>
      </c>
      <c r="Q164">
        <v>3</v>
      </c>
      <c r="W164">
        <v>-2.8396634261499236</v>
      </c>
      <c r="X164">
        <v>0.55447984467372524</v>
      </c>
      <c r="AC164" t="e">
        <f t="shared" si="14"/>
        <v>#N/A</v>
      </c>
      <c r="AD164" t="e">
        <f t="shared" si="14"/>
        <v>#N/A</v>
      </c>
      <c r="AE164">
        <f t="shared" si="14"/>
        <v>0.55447984467372524</v>
      </c>
      <c r="AG164" t="e">
        <f t="shared" si="15"/>
        <v>#N/A</v>
      </c>
      <c r="AH164" t="e">
        <f t="shared" si="15"/>
        <v>#N/A</v>
      </c>
      <c r="AI164">
        <f t="shared" si="15"/>
        <v>0.55447984467372524</v>
      </c>
    </row>
    <row r="165" spans="1:35" x14ac:dyDescent="0.25">
      <c r="A165" t="s">
        <v>16</v>
      </c>
      <c r="B165">
        <v>12.96</v>
      </c>
      <c r="C165">
        <v>3.45</v>
      </c>
      <c r="D165">
        <v>2.35</v>
      </c>
      <c r="E165">
        <v>18.5</v>
      </c>
      <c r="F165">
        <v>106</v>
      </c>
      <c r="G165">
        <v>1.39</v>
      </c>
      <c r="H165">
        <v>0.7</v>
      </c>
      <c r="I165">
        <v>0.4</v>
      </c>
      <c r="J165">
        <v>0.94</v>
      </c>
      <c r="K165">
        <v>5.28</v>
      </c>
      <c r="L165">
        <v>0.68</v>
      </c>
      <c r="M165">
        <v>1.75</v>
      </c>
      <c r="N165">
        <v>675</v>
      </c>
      <c r="P165">
        <v>3</v>
      </c>
      <c r="Q165">
        <v>3</v>
      </c>
      <c r="W165">
        <v>-2.590190440053926</v>
      </c>
      <c r="X165">
        <v>0.69600219858304446</v>
      </c>
      <c r="AC165" t="e">
        <f t="shared" si="14"/>
        <v>#N/A</v>
      </c>
      <c r="AD165" t="e">
        <f t="shared" si="14"/>
        <v>#N/A</v>
      </c>
      <c r="AE165">
        <f t="shared" si="14"/>
        <v>0.69600219858304446</v>
      </c>
      <c r="AG165" t="e">
        <f t="shared" si="15"/>
        <v>#N/A</v>
      </c>
      <c r="AH165" t="e">
        <f t="shared" si="15"/>
        <v>#N/A</v>
      </c>
      <c r="AI165">
        <f t="shared" si="15"/>
        <v>0.69600219858304446</v>
      </c>
    </row>
    <row r="166" spans="1:35" x14ac:dyDescent="0.25">
      <c r="A166" t="s">
        <v>16</v>
      </c>
      <c r="B166">
        <v>13.78</v>
      </c>
      <c r="C166">
        <v>2.76</v>
      </c>
      <c r="D166">
        <v>2.2999999999999998</v>
      </c>
      <c r="E166">
        <v>22</v>
      </c>
      <c r="F166">
        <v>90</v>
      </c>
      <c r="G166">
        <v>1.35</v>
      </c>
      <c r="H166">
        <v>0.68</v>
      </c>
      <c r="I166">
        <v>0.41</v>
      </c>
      <c r="J166">
        <v>1.03</v>
      </c>
      <c r="K166">
        <v>9.58</v>
      </c>
      <c r="L166">
        <v>0.7</v>
      </c>
      <c r="M166">
        <v>1.68</v>
      </c>
      <c r="N166">
        <v>615</v>
      </c>
      <c r="P166">
        <v>3</v>
      </c>
      <c r="Q166">
        <v>3</v>
      </c>
      <c r="W166">
        <v>-2.9410031559341667</v>
      </c>
      <c r="X166">
        <v>1.5509339655559877</v>
      </c>
      <c r="AC166" t="e">
        <f t="shared" si="14"/>
        <v>#N/A</v>
      </c>
      <c r="AD166" t="e">
        <f t="shared" si="14"/>
        <v>#N/A</v>
      </c>
      <c r="AE166">
        <f t="shared" si="14"/>
        <v>1.5509339655559877</v>
      </c>
      <c r="AG166" t="e">
        <f t="shared" si="15"/>
        <v>#N/A</v>
      </c>
      <c r="AH166" t="e">
        <f t="shared" si="15"/>
        <v>#N/A</v>
      </c>
      <c r="AI166">
        <f t="shared" si="15"/>
        <v>1.5509339655559877</v>
      </c>
    </row>
    <row r="167" spans="1:35" x14ac:dyDescent="0.25">
      <c r="A167" t="s">
        <v>16</v>
      </c>
      <c r="B167">
        <v>13.73</v>
      </c>
      <c r="C167">
        <v>4.3600000000000003</v>
      </c>
      <c r="D167">
        <v>2.2599999999999998</v>
      </c>
      <c r="E167">
        <v>22.5</v>
      </c>
      <c r="F167">
        <v>88</v>
      </c>
      <c r="G167">
        <v>1.28</v>
      </c>
      <c r="H167">
        <v>0.47</v>
      </c>
      <c r="I167">
        <v>0.52</v>
      </c>
      <c r="J167">
        <v>1.1499999999999999</v>
      </c>
      <c r="K167">
        <v>6.62</v>
      </c>
      <c r="L167">
        <v>0.78</v>
      </c>
      <c r="M167">
        <v>1.75</v>
      </c>
      <c r="N167">
        <v>520</v>
      </c>
      <c r="P167">
        <v>3</v>
      </c>
      <c r="Q167">
        <v>3</v>
      </c>
      <c r="W167">
        <v>-3.5201024794068507</v>
      </c>
      <c r="X167">
        <v>0.88004429674289142</v>
      </c>
      <c r="AC167" t="e">
        <f t="shared" si="14"/>
        <v>#N/A</v>
      </c>
      <c r="AD167" t="e">
        <f t="shared" si="14"/>
        <v>#N/A</v>
      </c>
      <c r="AE167">
        <f t="shared" si="14"/>
        <v>0.88004429674289142</v>
      </c>
      <c r="AG167" t="e">
        <f t="shared" si="15"/>
        <v>#N/A</v>
      </c>
      <c r="AH167" t="e">
        <f t="shared" si="15"/>
        <v>#N/A</v>
      </c>
      <c r="AI167">
        <f t="shared" si="15"/>
        <v>0.88004429674289142</v>
      </c>
    </row>
    <row r="168" spans="1:35" x14ac:dyDescent="0.25">
      <c r="A168" t="s">
        <v>16</v>
      </c>
      <c r="B168">
        <v>13.45</v>
      </c>
      <c r="C168">
        <v>3.7</v>
      </c>
      <c r="D168">
        <v>2.6</v>
      </c>
      <c r="E168">
        <v>23</v>
      </c>
      <c r="F168">
        <v>111</v>
      </c>
      <c r="G168">
        <v>1.7</v>
      </c>
      <c r="H168">
        <v>0.92</v>
      </c>
      <c r="I168">
        <v>0.43</v>
      </c>
      <c r="J168">
        <v>1.46</v>
      </c>
      <c r="K168">
        <v>10.68</v>
      </c>
      <c r="L168">
        <v>0.85</v>
      </c>
      <c r="M168">
        <v>1.56</v>
      </c>
      <c r="N168">
        <v>695</v>
      </c>
      <c r="P168">
        <v>3</v>
      </c>
      <c r="Q168">
        <v>3</v>
      </c>
      <c r="W168">
        <v>-2.3993422836078242</v>
      </c>
      <c r="X168">
        <v>2.585064019585563</v>
      </c>
      <c r="AC168" t="e">
        <f t="shared" si="14"/>
        <v>#N/A</v>
      </c>
      <c r="AD168" t="e">
        <f t="shared" si="14"/>
        <v>#N/A</v>
      </c>
      <c r="AE168">
        <f t="shared" si="14"/>
        <v>2.585064019585563</v>
      </c>
      <c r="AG168" t="e">
        <f t="shared" si="15"/>
        <v>#N/A</v>
      </c>
      <c r="AH168" t="e">
        <f t="shared" si="15"/>
        <v>#N/A</v>
      </c>
      <c r="AI168">
        <f t="shared" si="15"/>
        <v>2.585064019585563</v>
      </c>
    </row>
    <row r="169" spans="1:35" x14ac:dyDescent="0.25">
      <c r="A169" t="s">
        <v>16</v>
      </c>
      <c r="B169">
        <v>12.82</v>
      </c>
      <c r="C169">
        <v>3.37</v>
      </c>
      <c r="D169">
        <v>2.2999999999999998</v>
      </c>
      <c r="E169">
        <v>19.5</v>
      </c>
      <c r="F169">
        <v>88</v>
      </c>
      <c r="G169">
        <v>1.48</v>
      </c>
      <c r="H169">
        <v>0.66</v>
      </c>
      <c r="I169">
        <v>0.4</v>
      </c>
      <c r="J169">
        <v>0.97</v>
      </c>
      <c r="K169">
        <v>10.26</v>
      </c>
      <c r="L169">
        <v>0.72</v>
      </c>
      <c r="M169">
        <v>1.75</v>
      </c>
      <c r="N169">
        <v>685</v>
      </c>
      <c r="P169">
        <v>3</v>
      </c>
      <c r="Q169">
        <v>3</v>
      </c>
      <c r="W169">
        <v>-2.920845372432983</v>
      </c>
      <c r="X169">
        <v>1.270861998568525</v>
      </c>
      <c r="AC169" t="e">
        <f t="shared" si="14"/>
        <v>#N/A</v>
      </c>
      <c r="AD169" t="e">
        <f t="shared" si="14"/>
        <v>#N/A</v>
      </c>
      <c r="AE169">
        <f t="shared" si="14"/>
        <v>1.270861998568525</v>
      </c>
      <c r="AG169" t="e">
        <f t="shared" si="15"/>
        <v>#N/A</v>
      </c>
      <c r="AH169" t="e">
        <f t="shared" si="15"/>
        <v>#N/A</v>
      </c>
      <c r="AI169">
        <f t="shared" si="15"/>
        <v>1.270861998568525</v>
      </c>
    </row>
    <row r="170" spans="1:35" x14ac:dyDescent="0.25">
      <c r="A170" t="s">
        <v>16</v>
      </c>
      <c r="B170">
        <v>13.58</v>
      </c>
      <c r="C170">
        <v>2.58</v>
      </c>
      <c r="D170">
        <v>2.69</v>
      </c>
      <c r="E170">
        <v>24.5</v>
      </c>
      <c r="F170">
        <v>105</v>
      </c>
      <c r="G170">
        <v>1.55</v>
      </c>
      <c r="H170">
        <v>0.84</v>
      </c>
      <c r="I170">
        <v>0.39</v>
      </c>
      <c r="J170">
        <v>1.54</v>
      </c>
      <c r="K170">
        <v>8.66</v>
      </c>
      <c r="L170">
        <v>0.74</v>
      </c>
      <c r="M170">
        <v>1.8</v>
      </c>
      <c r="N170">
        <v>750</v>
      </c>
      <c r="P170">
        <v>3</v>
      </c>
      <c r="Q170">
        <v>3</v>
      </c>
      <c r="W170">
        <v>-2.1752765844480253</v>
      </c>
      <c r="X170">
        <v>2.0716933144723946</v>
      </c>
      <c r="AC170" t="e">
        <f t="shared" si="14"/>
        <v>#N/A</v>
      </c>
      <c r="AD170" t="e">
        <f t="shared" si="14"/>
        <v>#N/A</v>
      </c>
      <c r="AE170">
        <f t="shared" si="14"/>
        <v>2.0716933144723946</v>
      </c>
      <c r="AG170" t="e">
        <f t="shared" si="15"/>
        <v>#N/A</v>
      </c>
      <c r="AH170" t="e">
        <f t="shared" si="15"/>
        <v>#N/A</v>
      </c>
      <c r="AI170">
        <f t="shared" si="15"/>
        <v>2.0716933144723946</v>
      </c>
    </row>
    <row r="171" spans="1:35" x14ac:dyDescent="0.25">
      <c r="A171" t="s">
        <v>16</v>
      </c>
      <c r="B171">
        <v>13.4</v>
      </c>
      <c r="C171">
        <v>4.5999999999999996</v>
      </c>
      <c r="D171">
        <v>2.86</v>
      </c>
      <c r="E171">
        <v>25</v>
      </c>
      <c r="F171">
        <v>112</v>
      </c>
      <c r="G171">
        <v>1.98</v>
      </c>
      <c r="H171">
        <v>0.96</v>
      </c>
      <c r="I171">
        <v>0.27</v>
      </c>
      <c r="J171">
        <v>1.1100000000000001</v>
      </c>
      <c r="K171">
        <v>8.5</v>
      </c>
      <c r="L171">
        <v>0.67</v>
      </c>
      <c r="M171">
        <v>1.92</v>
      </c>
      <c r="N171">
        <v>630</v>
      </c>
      <c r="P171">
        <v>3</v>
      </c>
      <c r="Q171">
        <v>3</v>
      </c>
      <c r="W171">
        <v>-2.3742303679725136</v>
      </c>
      <c r="X171">
        <v>2.5813856532836619</v>
      </c>
      <c r="AC171" t="e">
        <f t="shared" si="14"/>
        <v>#N/A</v>
      </c>
      <c r="AD171" t="e">
        <f t="shared" si="14"/>
        <v>#N/A</v>
      </c>
      <c r="AE171">
        <f t="shared" si="14"/>
        <v>2.5813856532836619</v>
      </c>
      <c r="AG171" t="e">
        <f t="shared" si="15"/>
        <v>#N/A</v>
      </c>
      <c r="AH171" t="e">
        <f t="shared" si="15"/>
        <v>#N/A</v>
      </c>
      <c r="AI171">
        <f t="shared" si="15"/>
        <v>2.5813856532836619</v>
      </c>
    </row>
    <row r="172" spans="1:35" x14ac:dyDescent="0.25">
      <c r="A172" t="s">
        <v>16</v>
      </c>
      <c r="B172">
        <v>12.2</v>
      </c>
      <c r="C172">
        <v>3.03</v>
      </c>
      <c r="D172">
        <v>2.3199999999999998</v>
      </c>
      <c r="E172">
        <v>19</v>
      </c>
      <c r="F172">
        <v>96</v>
      </c>
      <c r="G172">
        <v>1.25</v>
      </c>
      <c r="H172">
        <v>0.49</v>
      </c>
      <c r="I172">
        <v>0.4</v>
      </c>
      <c r="J172">
        <v>0.73</v>
      </c>
      <c r="K172">
        <v>5.5</v>
      </c>
      <c r="L172">
        <v>0.66</v>
      </c>
      <c r="M172">
        <v>1.83</v>
      </c>
      <c r="N172">
        <v>510</v>
      </c>
      <c r="P172">
        <v>3</v>
      </c>
      <c r="Q172">
        <v>3</v>
      </c>
      <c r="W172">
        <v>-3.2025831121566379</v>
      </c>
      <c r="X172">
        <v>-0.25054235442571837</v>
      </c>
      <c r="AC172" t="e">
        <f t="shared" si="14"/>
        <v>#N/A</v>
      </c>
      <c r="AD172" t="e">
        <f t="shared" si="14"/>
        <v>#N/A</v>
      </c>
      <c r="AE172">
        <f t="shared" si="14"/>
        <v>-0.25054235442571837</v>
      </c>
      <c r="AG172" t="e">
        <f t="shared" si="15"/>
        <v>#N/A</v>
      </c>
      <c r="AH172" t="e">
        <f t="shared" si="15"/>
        <v>#N/A</v>
      </c>
      <c r="AI172">
        <f t="shared" si="15"/>
        <v>-0.25054235442571837</v>
      </c>
    </row>
    <row r="173" spans="1:35" x14ac:dyDescent="0.25">
      <c r="A173" t="s">
        <v>16</v>
      </c>
      <c r="B173">
        <v>12.77</v>
      </c>
      <c r="C173">
        <v>2.39</v>
      </c>
      <c r="D173">
        <v>2.2799999999999998</v>
      </c>
      <c r="E173">
        <v>19.5</v>
      </c>
      <c r="F173">
        <v>86</v>
      </c>
      <c r="G173">
        <v>1.39</v>
      </c>
      <c r="H173">
        <v>0.51</v>
      </c>
      <c r="I173">
        <v>0.48</v>
      </c>
      <c r="J173">
        <v>0.64</v>
      </c>
      <c r="K173">
        <v>9.8999989999999993</v>
      </c>
      <c r="L173">
        <v>0.56999999999999995</v>
      </c>
      <c r="M173">
        <v>1.63</v>
      </c>
      <c r="N173">
        <v>470</v>
      </c>
      <c r="P173">
        <v>3</v>
      </c>
      <c r="Q173">
        <v>3</v>
      </c>
      <c r="W173">
        <v>-3.6675729375491533</v>
      </c>
      <c r="X173">
        <v>0.84536317587662513</v>
      </c>
      <c r="AC173" t="e">
        <f t="shared" si="14"/>
        <v>#N/A</v>
      </c>
      <c r="AD173" t="e">
        <f t="shared" si="14"/>
        <v>#N/A</v>
      </c>
      <c r="AE173">
        <f t="shared" si="14"/>
        <v>0.84536317587662513</v>
      </c>
      <c r="AG173" t="e">
        <f t="shared" si="15"/>
        <v>#N/A</v>
      </c>
      <c r="AH173" t="e">
        <f t="shared" si="15"/>
        <v>#N/A</v>
      </c>
      <c r="AI173">
        <f t="shared" si="15"/>
        <v>0.84536317587662513</v>
      </c>
    </row>
    <row r="174" spans="1:35" x14ac:dyDescent="0.25">
      <c r="A174" t="s">
        <v>16</v>
      </c>
      <c r="B174">
        <v>14.16</v>
      </c>
      <c r="C174">
        <v>2.5099999999999998</v>
      </c>
      <c r="D174">
        <v>2.48</v>
      </c>
      <c r="E174">
        <v>20</v>
      </c>
      <c r="F174">
        <v>91</v>
      </c>
      <c r="G174">
        <v>1.68</v>
      </c>
      <c r="H174">
        <v>0.7</v>
      </c>
      <c r="I174">
        <v>0.44</v>
      </c>
      <c r="J174">
        <v>1.24</v>
      </c>
      <c r="K174">
        <v>9.6999999999999993</v>
      </c>
      <c r="L174">
        <v>0.62</v>
      </c>
      <c r="M174">
        <v>1.71</v>
      </c>
      <c r="N174">
        <v>660</v>
      </c>
      <c r="P174">
        <v>3</v>
      </c>
      <c r="Q174">
        <v>3</v>
      </c>
      <c r="W174">
        <v>-2.4586203249648322</v>
      </c>
      <c r="X174">
        <v>2.1876272693766845</v>
      </c>
      <c r="AC174" t="e">
        <f t="shared" si="14"/>
        <v>#N/A</v>
      </c>
      <c r="AD174" t="e">
        <f t="shared" si="14"/>
        <v>#N/A</v>
      </c>
      <c r="AE174">
        <f t="shared" si="14"/>
        <v>2.1876272693766845</v>
      </c>
      <c r="AG174" t="e">
        <f t="shared" si="15"/>
        <v>#N/A</v>
      </c>
      <c r="AH174" t="e">
        <f t="shared" si="15"/>
        <v>#N/A</v>
      </c>
      <c r="AI174">
        <f t="shared" si="15"/>
        <v>2.1876272693766845</v>
      </c>
    </row>
    <row r="175" spans="1:35" x14ac:dyDescent="0.25">
      <c r="A175" t="s">
        <v>16</v>
      </c>
      <c r="B175">
        <v>13.71</v>
      </c>
      <c r="C175">
        <v>5.65</v>
      </c>
      <c r="D175">
        <v>2.4500000000000002</v>
      </c>
      <c r="E175">
        <v>20.5</v>
      </c>
      <c r="F175">
        <v>95</v>
      </c>
      <c r="G175">
        <v>1.68</v>
      </c>
      <c r="H175">
        <v>0.61</v>
      </c>
      <c r="I175">
        <v>0.52</v>
      </c>
      <c r="J175">
        <v>1.06</v>
      </c>
      <c r="K175">
        <v>7.7</v>
      </c>
      <c r="L175">
        <v>0.64</v>
      </c>
      <c r="M175">
        <v>1.74</v>
      </c>
      <c r="N175">
        <v>740</v>
      </c>
      <c r="P175">
        <v>3</v>
      </c>
      <c r="Q175">
        <v>3</v>
      </c>
      <c r="W175">
        <v>-3.3610430460724929</v>
      </c>
      <c r="X175">
        <v>2.2100548401084392</v>
      </c>
      <c r="AC175" t="e">
        <f t="shared" si="14"/>
        <v>#N/A</v>
      </c>
      <c r="AD175" t="e">
        <f t="shared" si="14"/>
        <v>#N/A</v>
      </c>
      <c r="AE175">
        <f t="shared" si="14"/>
        <v>2.2100548401084392</v>
      </c>
      <c r="AG175" t="e">
        <f t="shared" si="15"/>
        <v>#N/A</v>
      </c>
      <c r="AH175" t="e">
        <f t="shared" si="15"/>
        <v>#N/A</v>
      </c>
      <c r="AI175">
        <f t="shared" si="15"/>
        <v>2.2100548401084392</v>
      </c>
    </row>
    <row r="176" spans="1:35" x14ac:dyDescent="0.25">
      <c r="A176" t="s">
        <v>16</v>
      </c>
      <c r="B176">
        <v>13.4</v>
      </c>
      <c r="C176">
        <v>3.91</v>
      </c>
      <c r="D176">
        <v>2.48</v>
      </c>
      <c r="E176">
        <v>23</v>
      </c>
      <c r="F176">
        <v>102</v>
      </c>
      <c r="G176">
        <v>1.8</v>
      </c>
      <c r="H176">
        <v>0.75</v>
      </c>
      <c r="I176">
        <v>0.43</v>
      </c>
      <c r="J176">
        <v>1.41</v>
      </c>
      <c r="K176">
        <v>7.3</v>
      </c>
      <c r="L176">
        <v>0.7</v>
      </c>
      <c r="M176">
        <v>1.56</v>
      </c>
      <c r="N176">
        <v>750</v>
      </c>
      <c r="P176">
        <v>3</v>
      </c>
      <c r="Q176">
        <v>3</v>
      </c>
      <c r="W176">
        <v>-2.5946366922715156</v>
      </c>
      <c r="X176">
        <v>1.7522863613819095</v>
      </c>
      <c r="AC176" t="e">
        <f t="shared" si="14"/>
        <v>#N/A</v>
      </c>
      <c r="AD176" t="e">
        <f t="shared" si="14"/>
        <v>#N/A</v>
      </c>
      <c r="AE176">
        <f t="shared" si="14"/>
        <v>1.7522863613819095</v>
      </c>
      <c r="AG176" t="e">
        <f t="shared" si="15"/>
        <v>#N/A</v>
      </c>
      <c r="AH176" t="e">
        <f t="shared" si="15"/>
        <v>#N/A</v>
      </c>
      <c r="AI176">
        <f t="shared" si="15"/>
        <v>1.7522863613819095</v>
      </c>
    </row>
    <row r="177" spans="1:35" x14ac:dyDescent="0.25">
      <c r="A177" t="s">
        <v>16</v>
      </c>
      <c r="B177">
        <v>13.27</v>
      </c>
      <c r="C177">
        <v>4.28</v>
      </c>
      <c r="D177">
        <v>2.2599999999999998</v>
      </c>
      <c r="E177">
        <v>20</v>
      </c>
      <c r="F177">
        <v>120</v>
      </c>
      <c r="G177">
        <v>1.59</v>
      </c>
      <c r="H177">
        <v>0.69</v>
      </c>
      <c r="I177">
        <v>0.43</v>
      </c>
      <c r="J177">
        <v>1.35</v>
      </c>
      <c r="K177">
        <v>10.199999999999999</v>
      </c>
      <c r="L177">
        <v>0.59</v>
      </c>
      <c r="M177">
        <v>1.56</v>
      </c>
      <c r="N177">
        <v>835</v>
      </c>
      <c r="P177">
        <v>3</v>
      </c>
      <c r="Q177">
        <v>3</v>
      </c>
      <c r="W177">
        <v>-2.6703068454811119</v>
      </c>
      <c r="X177">
        <v>2.7531328742258854</v>
      </c>
      <c r="AC177" t="e">
        <f t="shared" si="14"/>
        <v>#N/A</v>
      </c>
      <c r="AD177" t="e">
        <f t="shared" si="14"/>
        <v>#N/A</v>
      </c>
      <c r="AE177">
        <f t="shared" si="14"/>
        <v>2.7531328742258854</v>
      </c>
      <c r="AG177" t="e">
        <f t="shared" si="15"/>
        <v>#N/A</v>
      </c>
      <c r="AH177" t="e">
        <f t="shared" si="15"/>
        <v>#N/A</v>
      </c>
      <c r="AI177">
        <f t="shared" si="15"/>
        <v>2.7531328742258854</v>
      </c>
    </row>
    <row r="178" spans="1:35" x14ac:dyDescent="0.25">
      <c r="A178" t="s">
        <v>16</v>
      </c>
      <c r="B178">
        <v>13.17</v>
      </c>
      <c r="C178">
        <v>2.59</v>
      </c>
      <c r="D178">
        <v>2.37</v>
      </c>
      <c r="E178">
        <v>20</v>
      </c>
      <c r="F178">
        <v>120</v>
      </c>
      <c r="G178">
        <v>1.65</v>
      </c>
      <c r="H178">
        <v>0.68</v>
      </c>
      <c r="I178">
        <v>0.53</v>
      </c>
      <c r="J178">
        <v>1.46</v>
      </c>
      <c r="K178">
        <v>9.3000000000000007</v>
      </c>
      <c r="L178">
        <v>0.6</v>
      </c>
      <c r="M178">
        <v>1.62</v>
      </c>
      <c r="N178">
        <v>840</v>
      </c>
      <c r="P178">
        <v>3</v>
      </c>
      <c r="Q178">
        <v>3</v>
      </c>
      <c r="W178">
        <v>-2.3803025432802443</v>
      </c>
      <c r="X178">
        <v>2.290884369754135</v>
      </c>
      <c r="AC178" t="e">
        <f t="shared" si="14"/>
        <v>#N/A</v>
      </c>
      <c r="AD178" t="e">
        <f t="shared" si="14"/>
        <v>#N/A</v>
      </c>
      <c r="AE178">
        <f t="shared" si="14"/>
        <v>2.290884369754135</v>
      </c>
      <c r="AG178" t="e">
        <f t="shared" si="15"/>
        <v>#N/A</v>
      </c>
      <c r="AH178" t="e">
        <f t="shared" si="15"/>
        <v>#N/A</v>
      </c>
      <c r="AI178">
        <f t="shared" si="15"/>
        <v>2.290884369754135</v>
      </c>
    </row>
    <row r="179" spans="1:35" x14ac:dyDescent="0.25">
      <c r="A179" t="s">
        <v>16</v>
      </c>
      <c r="B179">
        <v>14.13</v>
      </c>
      <c r="C179">
        <v>4.0999999999999996</v>
      </c>
      <c r="D179">
        <v>2.74</v>
      </c>
      <c r="E179">
        <v>24.5</v>
      </c>
      <c r="F179">
        <v>96</v>
      </c>
      <c r="G179">
        <v>2.0499999999999998</v>
      </c>
      <c r="H179">
        <v>0.76</v>
      </c>
      <c r="I179">
        <v>0.56000000000000005</v>
      </c>
      <c r="J179">
        <v>1.35</v>
      </c>
      <c r="K179">
        <v>9.1999999999999993</v>
      </c>
      <c r="L179">
        <v>0.61</v>
      </c>
      <c r="M179">
        <v>1.6</v>
      </c>
      <c r="N179">
        <v>560</v>
      </c>
      <c r="P179">
        <v>3</v>
      </c>
      <c r="Q179">
        <v>3</v>
      </c>
      <c r="W179">
        <v>-3.1997321036582038</v>
      </c>
      <c r="X179">
        <v>2.761130747203004</v>
      </c>
      <c r="AC179" t="e">
        <f t="shared" si="14"/>
        <v>#N/A</v>
      </c>
      <c r="AD179" t="e">
        <f t="shared" si="14"/>
        <v>#N/A</v>
      </c>
      <c r="AE179">
        <f t="shared" si="14"/>
        <v>2.761130747203004</v>
      </c>
      <c r="AG179" t="e">
        <f t="shared" si="15"/>
        <v>#N/A</v>
      </c>
      <c r="AH179" t="e">
        <f t="shared" si="15"/>
        <v>#N/A</v>
      </c>
      <c r="AI179">
        <f t="shared" si="15"/>
        <v>2.761130747203004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8</xdr:col>
                    <xdr:colOff>38100</xdr:colOff>
                    <xdr:row>5</xdr:row>
                    <xdr:rowOff>95250</xdr:rowOff>
                  </from>
                  <to>
                    <xdr:col>10</xdr:col>
                    <xdr:colOff>295275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507"/>
  <sheetViews>
    <sheetView workbookViewId="0">
      <selection activeCell="N12" sqref="N12"/>
    </sheetView>
  </sheetViews>
  <sheetFormatPr defaultRowHeight="15" x14ac:dyDescent="0.25"/>
  <sheetData>
    <row r="2" spans="1:14" x14ac:dyDescent="0.25">
      <c r="A2">
        <v>24</v>
      </c>
      <c r="B2">
        <v>6.3200000000000001E-3</v>
      </c>
      <c r="C2">
        <v>18</v>
      </c>
      <c r="D2">
        <v>2.31</v>
      </c>
      <c r="E2">
        <v>0</v>
      </c>
      <c r="F2">
        <v>0.53800000000000003</v>
      </c>
      <c r="G2">
        <v>6.5750000000000002</v>
      </c>
      <c r="H2">
        <v>65.2</v>
      </c>
      <c r="I2">
        <v>4.09</v>
      </c>
      <c r="J2">
        <v>1</v>
      </c>
      <c r="K2">
        <v>296</v>
      </c>
      <c r="L2">
        <v>15.3</v>
      </c>
      <c r="M2">
        <v>396.9</v>
      </c>
      <c r="N2">
        <v>4.9800000000000004</v>
      </c>
    </row>
    <row r="3" spans="1:14" x14ac:dyDescent="0.25">
      <c r="A3">
        <v>21.6</v>
      </c>
      <c r="B3">
        <v>2.7310000000000001E-2</v>
      </c>
      <c r="C3">
        <v>0</v>
      </c>
      <c r="D3">
        <v>7.07</v>
      </c>
      <c r="E3">
        <v>0</v>
      </c>
      <c r="F3">
        <v>0.46899999999999997</v>
      </c>
      <c r="G3">
        <v>6.4210000000000003</v>
      </c>
      <c r="H3">
        <v>78.900000000000006</v>
      </c>
      <c r="I3">
        <v>4.9671000000000003</v>
      </c>
      <c r="J3">
        <v>2</v>
      </c>
      <c r="K3">
        <v>242</v>
      </c>
      <c r="L3">
        <v>17.8</v>
      </c>
      <c r="M3">
        <v>396.9</v>
      </c>
      <c r="N3">
        <v>9.14</v>
      </c>
    </row>
    <row r="4" spans="1:14" x14ac:dyDescent="0.25">
      <c r="A4">
        <v>34.700000000000003</v>
      </c>
      <c r="B4">
        <v>2.7289999999999998E-2</v>
      </c>
      <c r="C4">
        <v>0</v>
      </c>
      <c r="D4">
        <v>7.07</v>
      </c>
      <c r="E4">
        <v>0</v>
      </c>
      <c r="F4">
        <v>0.46899999999999997</v>
      </c>
      <c r="G4">
        <v>7.1849999999999996</v>
      </c>
      <c r="H4">
        <v>61.1</v>
      </c>
      <c r="I4">
        <v>4.9671000000000003</v>
      </c>
      <c r="J4">
        <v>2</v>
      </c>
      <c r="K4">
        <v>242</v>
      </c>
      <c r="L4">
        <v>17.8</v>
      </c>
      <c r="M4">
        <v>392.83</v>
      </c>
      <c r="N4">
        <v>4.03</v>
      </c>
    </row>
    <row r="5" spans="1:14" x14ac:dyDescent="0.25">
      <c r="A5">
        <v>33.4</v>
      </c>
      <c r="B5">
        <v>3.2370000000000003E-2</v>
      </c>
      <c r="C5">
        <v>0</v>
      </c>
      <c r="D5">
        <v>2.1800000000000002</v>
      </c>
      <c r="E5">
        <v>0</v>
      </c>
      <c r="F5">
        <v>0.45800000000000002</v>
      </c>
      <c r="G5">
        <v>6.9980000000000002</v>
      </c>
      <c r="H5">
        <v>45.8</v>
      </c>
      <c r="I5">
        <v>6.0621999999999998</v>
      </c>
      <c r="J5">
        <v>3</v>
      </c>
      <c r="K5">
        <v>222</v>
      </c>
      <c r="L5">
        <v>18.7</v>
      </c>
      <c r="M5">
        <v>394.63</v>
      </c>
      <c r="N5">
        <v>2.94</v>
      </c>
    </row>
    <row r="6" spans="1:14" x14ac:dyDescent="0.25">
      <c r="A6">
        <v>36.200000000000003</v>
      </c>
      <c r="B6">
        <v>6.905E-2</v>
      </c>
      <c r="C6">
        <v>0</v>
      </c>
      <c r="D6">
        <v>2.1800000000000002</v>
      </c>
      <c r="E6">
        <v>0</v>
      </c>
      <c r="F6">
        <v>0.45800000000000002</v>
      </c>
      <c r="G6">
        <v>7.1470000000000002</v>
      </c>
      <c r="H6">
        <v>54.2</v>
      </c>
      <c r="I6">
        <v>6.0621999999999998</v>
      </c>
      <c r="J6">
        <v>3</v>
      </c>
      <c r="K6">
        <v>222</v>
      </c>
      <c r="L6">
        <v>18.7</v>
      </c>
      <c r="M6">
        <v>396.9</v>
      </c>
      <c r="N6">
        <v>5.33</v>
      </c>
    </row>
    <row r="7" spans="1:14" x14ac:dyDescent="0.25">
      <c r="A7">
        <v>28.7</v>
      </c>
      <c r="B7">
        <v>2.9850000000000002E-2</v>
      </c>
      <c r="C7">
        <v>0</v>
      </c>
      <c r="D7">
        <v>2.1800000000000002</v>
      </c>
      <c r="E7">
        <v>0</v>
      </c>
      <c r="F7">
        <v>0.45800000000000002</v>
      </c>
      <c r="G7">
        <v>6.43</v>
      </c>
      <c r="H7">
        <v>58.7</v>
      </c>
      <c r="I7">
        <v>6.0621999999999998</v>
      </c>
      <c r="J7">
        <v>3</v>
      </c>
      <c r="K7">
        <v>222</v>
      </c>
      <c r="L7">
        <v>18.7</v>
      </c>
      <c r="M7">
        <v>394.12</v>
      </c>
      <c r="N7">
        <v>5.21</v>
      </c>
    </row>
    <row r="8" spans="1:14" x14ac:dyDescent="0.25">
      <c r="A8">
        <v>22.9</v>
      </c>
      <c r="B8">
        <v>8.8289999999999993E-2</v>
      </c>
      <c r="C8">
        <v>12.5</v>
      </c>
      <c r="D8">
        <v>7.87</v>
      </c>
      <c r="E8">
        <v>0</v>
      </c>
      <c r="F8">
        <v>0.52400000000000002</v>
      </c>
      <c r="G8">
        <v>6.0119999999999996</v>
      </c>
      <c r="H8">
        <v>66.599999999999994</v>
      </c>
      <c r="I8">
        <v>5.5605000000000002</v>
      </c>
      <c r="J8">
        <v>5</v>
      </c>
      <c r="K8">
        <v>311</v>
      </c>
      <c r="L8">
        <v>15.2</v>
      </c>
      <c r="M8">
        <v>395.6</v>
      </c>
      <c r="N8">
        <v>12.43</v>
      </c>
    </row>
    <row r="9" spans="1:14" x14ac:dyDescent="0.25">
      <c r="A9">
        <v>27.1</v>
      </c>
      <c r="B9">
        <v>0.14455000000000001</v>
      </c>
      <c r="C9">
        <v>12.5</v>
      </c>
      <c r="D9">
        <v>7.87</v>
      </c>
      <c r="E9">
        <v>0</v>
      </c>
      <c r="F9">
        <v>0.52400000000000002</v>
      </c>
      <c r="G9">
        <v>6.1719999999999997</v>
      </c>
      <c r="H9">
        <v>96.1</v>
      </c>
      <c r="I9">
        <v>5.9504999999999999</v>
      </c>
      <c r="J9">
        <v>5</v>
      </c>
      <c r="K9">
        <v>311</v>
      </c>
      <c r="L9">
        <v>15.2</v>
      </c>
      <c r="M9">
        <v>396.9</v>
      </c>
      <c r="N9">
        <v>19.149999999999999</v>
      </c>
    </row>
    <row r="10" spans="1:14" x14ac:dyDescent="0.25">
      <c r="A10">
        <v>16.5</v>
      </c>
      <c r="B10">
        <v>0.21124000000000001</v>
      </c>
      <c r="C10">
        <v>12.5</v>
      </c>
      <c r="D10">
        <v>7.87</v>
      </c>
      <c r="E10">
        <v>0</v>
      </c>
      <c r="F10">
        <v>0.52400000000000002</v>
      </c>
      <c r="G10">
        <v>5.6310000000000002</v>
      </c>
      <c r="H10">
        <v>100</v>
      </c>
      <c r="I10">
        <v>6.0820999999999996</v>
      </c>
      <c r="J10">
        <v>5</v>
      </c>
      <c r="K10">
        <v>311</v>
      </c>
      <c r="L10">
        <v>15.2</v>
      </c>
      <c r="M10">
        <v>386.63</v>
      </c>
      <c r="N10">
        <v>29.93</v>
      </c>
    </row>
    <row r="11" spans="1:14" x14ac:dyDescent="0.25">
      <c r="A11">
        <v>18.899999999999999</v>
      </c>
      <c r="B11">
        <v>0.17004</v>
      </c>
      <c r="C11">
        <v>12.5</v>
      </c>
      <c r="D11">
        <v>7.87</v>
      </c>
      <c r="E11">
        <v>0</v>
      </c>
      <c r="F11">
        <v>0.52400000000000002</v>
      </c>
      <c r="G11">
        <v>6.0039999999999996</v>
      </c>
      <c r="H11">
        <v>85.9</v>
      </c>
      <c r="I11">
        <v>6.5921000000000003</v>
      </c>
      <c r="J11">
        <v>5</v>
      </c>
      <c r="K11">
        <v>311</v>
      </c>
      <c r="L11">
        <v>15.2</v>
      </c>
      <c r="M11">
        <v>386.71</v>
      </c>
      <c r="N11">
        <v>17.100000000000001</v>
      </c>
    </row>
    <row r="12" spans="1:14" x14ac:dyDescent="0.25">
      <c r="A12">
        <v>15</v>
      </c>
      <c r="B12">
        <v>0.22489000000000001</v>
      </c>
      <c r="C12">
        <v>12.5</v>
      </c>
      <c r="D12">
        <v>7.87</v>
      </c>
      <c r="E12">
        <v>0</v>
      </c>
      <c r="F12">
        <v>0.52400000000000002</v>
      </c>
      <c r="G12">
        <v>6.3769999999999998</v>
      </c>
      <c r="H12">
        <v>94.3</v>
      </c>
      <c r="I12">
        <v>6.3467000000000002</v>
      </c>
      <c r="J12">
        <v>5</v>
      </c>
      <c r="K12">
        <v>311</v>
      </c>
      <c r="L12">
        <v>15.2</v>
      </c>
      <c r="M12">
        <v>392.52</v>
      </c>
      <c r="N12">
        <v>20.45</v>
      </c>
    </row>
    <row r="13" spans="1:14" x14ac:dyDescent="0.25">
      <c r="A13">
        <v>18.899999999999999</v>
      </c>
      <c r="B13">
        <v>0.11747</v>
      </c>
      <c r="C13">
        <v>12.5</v>
      </c>
      <c r="D13">
        <v>7.87</v>
      </c>
      <c r="E13">
        <v>0</v>
      </c>
      <c r="F13">
        <v>0.52400000000000002</v>
      </c>
      <c r="G13">
        <v>6.0090000000000003</v>
      </c>
      <c r="H13">
        <v>82.9</v>
      </c>
      <c r="I13">
        <v>6.2267000000000001</v>
      </c>
      <c r="J13">
        <v>5</v>
      </c>
      <c r="K13">
        <v>311</v>
      </c>
      <c r="L13">
        <v>15.2</v>
      </c>
      <c r="M13">
        <v>396.9</v>
      </c>
      <c r="N13">
        <v>13.27</v>
      </c>
    </row>
    <row r="14" spans="1:14" x14ac:dyDescent="0.25">
      <c r="A14">
        <v>21.7</v>
      </c>
      <c r="B14">
        <v>9.3780000000000002E-2</v>
      </c>
      <c r="C14">
        <v>12.5</v>
      </c>
      <c r="D14">
        <v>7.87</v>
      </c>
      <c r="E14">
        <v>0</v>
      </c>
      <c r="F14">
        <v>0.52400000000000002</v>
      </c>
      <c r="G14">
        <v>5.8890000000000002</v>
      </c>
      <c r="H14">
        <v>39</v>
      </c>
      <c r="I14">
        <v>5.4508999999999999</v>
      </c>
      <c r="J14">
        <v>5</v>
      </c>
      <c r="K14">
        <v>311</v>
      </c>
      <c r="L14">
        <v>15.2</v>
      </c>
      <c r="M14">
        <v>390.5</v>
      </c>
      <c r="N14">
        <v>15.71</v>
      </c>
    </row>
    <row r="15" spans="1:14" x14ac:dyDescent="0.25">
      <c r="A15">
        <v>20.399999999999999</v>
      </c>
      <c r="B15">
        <v>0.62975999999999999</v>
      </c>
      <c r="C15">
        <v>0</v>
      </c>
      <c r="D15">
        <v>8.14</v>
      </c>
      <c r="E15">
        <v>0</v>
      </c>
      <c r="F15">
        <v>0.53800000000000003</v>
      </c>
      <c r="G15">
        <v>5.9489999999999998</v>
      </c>
      <c r="H15">
        <v>61.8</v>
      </c>
      <c r="I15">
        <v>4.7074999999999996</v>
      </c>
      <c r="J15">
        <v>4</v>
      </c>
      <c r="K15">
        <v>307</v>
      </c>
      <c r="L15">
        <v>21</v>
      </c>
      <c r="M15">
        <v>396.9</v>
      </c>
      <c r="N15">
        <v>8.26</v>
      </c>
    </row>
    <row r="16" spans="1:14" x14ac:dyDescent="0.25">
      <c r="A16">
        <v>18.2</v>
      </c>
      <c r="B16">
        <v>0.63795999999999997</v>
      </c>
      <c r="C16">
        <v>0</v>
      </c>
      <c r="D16">
        <v>8.14</v>
      </c>
      <c r="E16">
        <v>0</v>
      </c>
      <c r="F16">
        <v>0.53800000000000003</v>
      </c>
      <c r="G16">
        <v>6.0960000000000001</v>
      </c>
      <c r="H16">
        <v>84.5</v>
      </c>
      <c r="I16">
        <v>4.4619</v>
      </c>
      <c r="J16">
        <v>4</v>
      </c>
      <c r="K16">
        <v>307</v>
      </c>
      <c r="L16">
        <v>21</v>
      </c>
      <c r="M16">
        <v>380.02</v>
      </c>
      <c r="N16">
        <v>10.26</v>
      </c>
    </row>
    <row r="17" spans="1:14" x14ac:dyDescent="0.25">
      <c r="A17">
        <v>19.899999999999999</v>
      </c>
      <c r="B17">
        <v>0.62739</v>
      </c>
      <c r="C17">
        <v>0</v>
      </c>
      <c r="D17">
        <v>8.14</v>
      </c>
      <c r="E17">
        <v>0</v>
      </c>
      <c r="F17">
        <v>0.53800000000000003</v>
      </c>
      <c r="G17">
        <v>5.8339999999999996</v>
      </c>
      <c r="H17">
        <v>56.5</v>
      </c>
      <c r="I17">
        <v>4.4985999999999997</v>
      </c>
      <c r="J17">
        <v>4</v>
      </c>
      <c r="K17">
        <v>307</v>
      </c>
      <c r="L17">
        <v>21</v>
      </c>
      <c r="M17">
        <v>395.62</v>
      </c>
      <c r="N17">
        <v>8.4700000000000006</v>
      </c>
    </row>
    <row r="18" spans="1:14" x14ac:dyDescent="0.25">
      <c r="A18">
        <v>23.1</v>
      </c>
      <c r="B18">
        <v>1.05393</v>
      </c>
      <c r="C18">
        <v>0</v>
      </c>
      <c r="D18">
        <v>8.14</v>
      </c>
      <c r="E18">
        <v>0</v>
      </c>
      <c r="F18">
        <v>0.53800000000000003</v>
      </c>
      <c r="G18">
        <v>5.9349999999999996</v>
      </c>
      <c r="H18">
        <v>29.3</v>
      </c>
      <c r="I18">
        <v>4.4985999999999997</v>
      </c>
      <c r="J18">
        <v>4</v>
      </c>
      <c r="K18">
        <v>307</v>
      </c>
      <c r="L18">
        <v>21</v>
      </c>
      <c r="M18">
        <v>386.85</v>
      </c>
      <c r="N18">
        <v>6.58</v>
      </c>
    </row>
    <row r="19" spans="1:14" x14ac:dyDescent="0.25">
      <c r="A19">
        <v>17.5</v>
      </c>
      <c r="B19">
        <v>0.78420000000000001</v>
      </c>
      <c r="C19">
        <v>0</v>
      </c>
      <c r="D19">
        <v>8.14</v>
      </c>
      <c r="E19">
        <v>0</v>
      </c>
      <c r="F19">
        <v>0.53800000000000003</v>
      </c>
      <c r="G19">
        <v>5.99</v>
      </c>
      <c r="H19">
        <v>81.7</v>
      </c>
      <c r="I19">
        <v>4.2579000000000002</v>
      </c>
      <c r="J19">
        <v>4</v>
      </c>
      <c r="K19">
        <v>307</v>
      </c>
      <c r="L19">
        <v>21</v>
      </c>
      <c r="M19">
        <v>386.75</v>
      </c>
      <c r="N19">
        <v>14.67</v>
      </c>
    </row>
    <row r="20" spans="1:14" x14ac:dyDescent="0.25">
      <c r="A20">
        <v>20.2</v>
      </c>
      <c r="B20">
        <v>0.80271000000000003</v>
      </c>
      <c r="C20">
        <v>0</v>
      </c>
      <c r="D20">
        <v>8.14</v>
      </c>
      <c r="E20">
        <v>0</v>
      </c>
      <c r="F20">
        <v>0.53800000000000003</v>
      </c>
      <c r="G20">
        <v>5.4560000000000004</v>
      </c>
      <c r="H20">
        <v>36.6</v>
      </c>
      <c r="I20">
        <v>3.7965</v>
      </c>
      <c r="J20">
        <v>4</v>
      </c>
      <c r="K20">
        <v>307</v>
      </c>
      <c r="L20">
        <v>21</v>
      </c>
      <c r="M20">
        <v>288.99</v>
      </c>
      <c r="N20">
        <v>11.69</v>
      </c>
    </row>
    <row r="21" spans="1:14" x14ac:dyDescent="0.25">
      <c r="A21">
        <v>18.2</v>
      </c>
      <c r="B21">
        <v>0.7258</v>
      </c>
      <c r="C21">
        <v>0</v>
      </c>
      <c r="D21">
        <v>8.14</v>
      </c>
      <c r="E21">
        <v>0</v>
      </c>
      <c r="F21">
        <v>0.53800000000000003</v>
      </c>
      <c r="G21">
        <v>5.7270000000000003</v>
      </c>
      <c r="H21">
        <v>69.5</v>
      </c>
      <c r="I21">
        <v>3.7965</v>
      </c>
      <c r="J21">
        <v>4</v>
      </c>
      <c r="K21">
        <v>307</v>
      </c>
      <c r="L21">
        <v>21</v>
      </c>
      <c r="M21">
        <v>390.95</v>
      </c>
      <c r="N21">
        <v>11.28</v>
      </c>
    </row>
    <row r="22" spans="1:14" x14ac:dyDescent="0.25">
      <c r="A22">
        <v>13.6</v>
      </c>
      <c r="B22">
        <v>1.25179</v>
      </c>
      <c r="C22">
        <v>0</v>
      </c>
      <c r="D22">
        <v>8.14</v>
      </c>
      <c r="E22">
        <v>0</v>
      </c>
      <c r="F22">
        <v>0.53800000000000003</v>
      </c>
      <c r="G22">
        <v>5.57</v>
      </c>
      <c r="H22">
        <v>98.1</v>
      </c>
      <c r="I22">
        <v>3.7978999999999998</v>
      </c>
      <c r="J22">
        <v>4</v>
      </c>
      <c r="K22">
        <v>307</v>
      </c>
      <c r="L22">
        <v>21</v>
      </c>
      <c r="M22">
        <v>376.57</v>
      </c>
      <c r="N22">
        <v>21.02</v>
      </c>
    </row>
    <row r="23" spans="1:14" x14ac:dyDescent="0.25">
      <c r="A23">
        <v>19.600000000000001</v>
      </c>
      <c r="B23">
        <v>0.85204000000000002</v>
      </c>
      <c r="C23">
        <v>0</v>
      </c>
      <c r="D23">
        <v>8.14</v>
      </c>
      <c r="E23">
        <v>0</v>
      </c>
      <c r="F23">
        <v>0.53800000000000003</v>
      </c>
      <c r="G23">
        <v>5.9649999999999999</v>
      </c>
      <c r="H23">
        <v>89.2</v>
      </c>
      <c r="I23">
        <v>4.0122999999999998</v>
      </c>
      <c r="J23">
        <v>4</v>
      </c>
      <c r="K23">
        <v>307</v>
      </c>
      <c r="L23">
        <v>21</v>
      </c>
      <c r="M23">
        <v>392.53</v>
      </c>
      <c r="N23">
        <v>13.83</v>
      </c>
    </row>
    <row r="24" spans="1:14" x14ac:dyDescent="0.25">
      <c r="A24">
        <v>15.2</v>
      </c>
      <c r="B24">
        <v>1.23247</v>
      </c>
      <c r="C24">
        <v>0</v>
      </c>
      <c r="D24">
        <v>8.14</v>
      </c>
      <c r="E24">
        <v>0</v>
      </c>
      <c r="F24">
        <v>0.53800000000000003</v>
      </c>
      <c r="G24">
        <v>6.1420000000000003</v>
      </c>
      <c r="H24">
        <v>91.7</v>
      </c>
      <c r="I24">
        <v>3.9769000000000001</v>
      </c>
      <c r="J24">
        <v>4</v>
      </c>
      <c r="K24">
        <v>307</v>
      </c>
      <c r="L24">
        <v>21</v>
      </c>
      <c r="M24">
        <v>396.9</v>
      </c>
      <c r="N24">
        <v>18.72</v>
      </c>
    </row>
    <row r="25" spans="1:14" x14ac:dyDescent="0.25">
      <c r="A25">
        <v>14.5</v>
      </c>
      <c r="B25">
        <v>0.98843000000000003</v>
      </c>
      <c r="C25">
        <v>0</v>
      </c>
      <c r="D25">
        <v>8.14</v>
      </c>
      <c r="E25">
        <v>0</v>
      </c>
      <c r="F25">
        <v>0.53800000000000003</v>
      </c>
      <c r="G25">
        <v>5.8129999999999997</v>
      </c>
      <c r="H25">
        <v>100</v>
      </c>
      <c r="I25">
        <v>4.0952000000000002</v>
      </c>
      <c r="J25">
        <v>4</v>
      </c>
      <c r="K25">
        <v>307</v>
      </c>
      <c r="L25">
        <v>21</v>
      </c>
      <c r="M25">
        <v>394.54</v>
      </c>
      <c r="N25">
        <v>19.88</v>
      </c>
    </row>
    <row r="26" spans="1:14" x14ac:dyDescent="0.25">
      <c r="A26">
        <v>15.6</v>
      </c>
      <c r="B26">
        <v>0.75026000000000004</v>
      </c>
      <c r="C26">
        <v>0</v>
      </c>
      <c r="D26">
        <v>8.14</v>
      </c>
      <c r="E26">
        <v>0</v>
      </c>
      <c r="F26">
        <v>0.53800000000000003</v>
      </c>
      <c r="G26">
        <v>5.9240000000000004</v>
      </c>
      <c r="H26">
        <v>94.1</v>
      </c>
      <c r="I26">
        <v>4.3996000000000004</v>
      </c>
      <c r="J26">
        <v>4</v>
      </c>
      <c r="K26">
        <v>307</v>
      </c>
      <c r="L26">
        <v>21</v>
      </c>
      <c r="M26">
        <v>394.33</v>
      </c>
      <c r="N26">
        <v>16.3</v>
      </c>
    </row>
    <row r="27" spans="1:14" x14ac:dyDescent="0.25">
      <c r="A27">
        <v>13.9</v>
      </c>
      <c r="B27">
        <v>0.84053999999999995</v>
      </c>
      <c r="C27">
        <v>0</v>
      </c>
      <c r="D27">
        <v>8.14</v>
      </c>
      <c r="E27">
        <v>0</v>
      </c>
      <c r="F27">
        <v>0.53800000000000003</v>
      </c>
      <c r="G27">
        <v>5.5990000000000002</v>
      </c>
      <c r="H27">
        <v>85.7</v>
      </c>
      <c r="I27">
        <v>4.4546000000000001</v>
      </c>
      <c r="J27">
        <v>4</v>
      </c>
      <c r="K27">
        <v>307</v>
      </c>
      <c r="L27">
        <v>21</v>
      </c>
      <c r="M27">
        <v>303.42</v>
      </c>
      <c r="N27">
        <v>16.510000000000002</v>
      </c>
    </row>
    <row r="28" spans="1:14" x14ac:dyDescent="0.25">
      <c r="A28">
        <v>16.600000000000001</v>
      </c>
      <c r="B28">
        <v>0.67191000000000001</v>
      </c>
      <c r="C28">
        <v>0</v>
      </c>
      <c r="D28">
        <v>8.14</v>
      </c>
      <c r="E28">
        <v>0</v>
      </c>
      <c r="F28">
        <v>0.53800000000000003</v>
      </c>
      <c r="G28">
        <v>5.8129999999999997</v>
      </c>
      <c r="H28">
        <v>90.3</v>
      </c>
      <c r="I28">
        <v>4.6820000000000004</v>
      </c>
      <c r="J28">
        <v>4</v>
      </c>
      <c r="K28">
        <v>307</v>
      </c>
      <c r="L28">
        <v>21</v>
      </c>
      <c r="M28">
        <v>376.88</v>
      </c>
      <c r="N28">
        <v>14.81</v>
      </c>
    </row>
    <row r="29" spans="1:14" x14ac:dyDescent="0.25">
      <c r="A29">
        <v>14.8</v>
      </c>
      <c r="B29">
        <v>0.95577000000000001</v>
      </c>
      <c r="C29">
        <v>0</v>
      </c>
      <c r="D29">
        <v>8.14</v>
      </c>
      <c r="E29">
        <v>0</v>
      </c>
      <c r="F29">
        <v>0.53800000000000003</v>
      </c>
      <c r="G29">
        <v>6.0469999999999997</v>
      </c>
      <c r="H29">
        <v>88.8</v>
      </c>
      <c r="I29">
        <v>4.4534000000000002</v>
      </c>
      <c r="J29">
        <v>4</v>
      </c>
      <c r="K29">
        <v>307</v>
      </c>
      <c r="L29">
        <v>21</v>
      </c>
      <c r="M29">
        <v>306.38</v>
      </c>
      <c r="N29">
        <v>17.28</v>
      </c>
    </row>
    <row r="30" spans="1:14" x14ac:dyDescent="0.25">
      <c r="A30">
        <v>18.399999999999999</v>
      </c>
      <c r="B30">
        <v>0.77298999999999995</v>
      </c>
      <c r="C30">
        <v>0</v>
      </c>
      <c r="D30">
        <v>8.14</v>
      </c>
      <c r="E30">
        <v>0</v>
      </c>
      <c r="F30">
        <v>0.53800000000000003</v>
      </c>
      <c r="G30">
        <v>6.4950000000000001</v>
      </c>
      <c r="H30">
        <v>94.4</v>
      </c>
      <c r="I30">
        <v>4.4546999999999999</v>
      </c>
      <c r="J30">
        <v>4</v>
      </c>
      <c r="K30">
        <v>307</v>
      </c>
      <c r="L30">
        <v>21</v>
      </c>
      <c r="M30">
        <v>387.94</v>
      </c>
      <c r="N30">
        <v>12.8</v>
      </c>
    </row>
    <row r="31" spans="1:14" x14ac:dyDescent="0.25">
      <c r="A31">
        <v>21</v>
      </c>
      <c r="B31">
        <v>1.0024500000000001</v>
      </c>
      <c r="C31">
        <v>0</v>
      </c>
      <c r="D31">
        <v>8.14</v>
      </c>
      <c r="E31">
        <v>0</v>
      </c>
      <c r="F31">
        <v>0.53800000000000003</v>
      </c>
      <c r="G31">
        <v>6.6740000000000004</v>
      </c>
      <c r="H31">
        <v>87.3</v>
      </c>
      <c r="I31">
        <v>4.2389999999999999</v>
      </c>
      <c r="J31">
        <v>4</v>
      </c>
      <c r="K31">
        <v>307</v>
      </c>
      <c r="L31">
        <v>21</v>
      </c>
      <c r="M31">
        <v>380.23</v>
      </c>
      <c r="N31">
        <v>11.98</v>
      </c>
    </row>
    <row r="32" spans="1:14" x14ac:dyDescent="0.25">
      <c r="A32">
        <v>12.7</v>
      </c>
      <c r="B32">
        <v>1.1308100000000001</v>
      </c>
      <c r="C32">
        <v>0</v>
      </c>
      <c r="D32">
        <v>8.14</v>
      </c>
      <c r="E32">
        <v>0</v>
      </c>
      <c r="F32">
        <v>0.53800000000000003</v>
      </c>
      <c r="G32">
        <v>5.7130000000000001</v>
      </c>
      <c r="H32">
        <v>94.1</v>
      </c>
      <c r="I32">
        <v>4.2329999999999997</v>
      </c>
      <c r="J32">
        <v>4</v>
      </c>
      <c r="K32">
        <v>307</v>
      </c>
      <c r="L32">
        <v>21</v>
      </c>
      <c r="M32">
        <v>360.17</v>
      </c>
      <c r="N32">
        <v>22.6</v>
      </c>
    </row>
    <row r="33" spans="1:14" x14ac:dyDescent="0.25">
      <c r="A33">
        <v>14.5</v>
      </c>
      <c r="B33">
        <v>1.3547199999999999</v>
      </c>
      <c r="C33">
        <v>0</v>
      </c>
      <c r="D33">
        <v>8.14</v>
      </c>
      <c r="E33">
        <v>0</v>
      </c>
      <c r="F33">
        <v>0.53800000000000003</v>
      </c>
      <c r="G33">
        <v>6.0720000000000001</v>
      </c>
      <c r="H33">
        <v>100</v>
      </c>
      <c r="I33">
        <v>4.1749999999999998</v>
      </c>
      <c r="J33">
        <v>4</v>
      </c>
      <c r="K33">
        <v>307</v>
      </c>
      <c r="L33">
        <v>21</v>
      </c>
      <c r="M33">
        <v>376.73</v>
      </c>
      <c r="N33">
        <v>13.04</v>
      </c>
    </row>
    <row r="34" spans="1:14" x14ac:dyDescent="0.25">
      <c r="A34">
        <v>13.2</v>
      </c>
      <c r="B34">
        <v>1.3879900000000001</v>
      </c>
      <c r="C34">
        <v>0</v>
      </c>
      <c r="D34">
        <v>8.14</v>
      </c>
      <c r="E34">
        <v>0</v>
      </c>
      <c r="F34">
        <v>0.53800000000000003</v>
      </c>
      <c r="G34">
        <v>5.95</v>
      </c>
      <c r="H34">
        <v>82</v>
      </c>
      <c r="I34">
        <v>3.99</v>
      </c>
      <c r="J34">
        <v>4</v>
      </c>
      <c r="K34">
        <v>307</v>
      </c>
      <c r="L34">
        <v>21</v>
      </c>
      <c r="M34">
        <v>232.6</v>
      </c>
      <c r="N34">
        <v>27.71</v>
      </c>
    </row>
    <row r="35" spans="1:14" x14ac:dyDescent="0.25">
      <c r="A35">
        <v>13.1</v>
      </c>
      <c r="B35">
        <v>1.1517200000000001</v>
      </c>
      <c r="C35">
        <v>0</v>
      </c>
      <c r="D35">
        <v>8.14</v>
      </c>
      <c r="E35">
        <v>0</v>
      </c>
      <c r="F35">
        <v>0.53800000000000003</v>
      </c>
      <c r="G35">
        <v>5.7009999999999996</v>
      </c>
      <c r="H35">
        <v>95</v>
      </c>
      <c r="I35">
        <v>3.7871999999999999</v>
      </c>
      <c r="J35">
        <v>4</v>
      </c>
      <c r="K35">
        <v>307</v>
      </c>
      <c r="L35">
        <v>21</v>
      </c>
      <c r="M35">
        <v>358.77</v>
      </c>
      <c r="N35">
        <v>18.350000000000001</v>
      </c>
    </row>
    <row r="36" spans="1:14" x14ac:dyDescent="0.25">
      <c r="A36">
        <v>13.5</v>
      </c>
      <c r="B36">
        <v>1.6128199999999999</v>
      </c>
      <c r="C36">
        <v>0</v>
      </c>
      <c r="D36">
        <v>8.14</v>
      </c>
      <c r="E36">
        <v>0</v>
      </c>
      <c r="F36">
        <v>0.53800000000000003</v>
      </c>
      <c r="G36">
        <v>6.0960000000000001</v>
      </c>
      <c r="H36">
        <v>96.9</v>
      </c>
      <c r="I36">
        <v>3.7597999999999998</v>
      </c>
      <c r="J36">
        <v>4</v>
      </c>
      <c r="K36">
        <v>307</v>
      </c>
      <c r="L36">
        <v>21</v>
      </c>
      <c r="M36">
        <v>248.31</v>
      </c>
      <c r="N36">
        <v>20.34</v>
      </c>
    </row>
    <row r="37" spans="1:14" x14ac:dyDescent="0.25">
      <c r="A37">
        <v>18.899999999999999</v>
      </c>
      <c r="B37">
        <v>6.4170000000000005E-2</v>
      </c>
      <c r="C37">
        <v>0</v>
      </c>
      <c r="D37">
        <v>5.96</v>
      </c>
      <c r="E37">
        <v>0</v>
      </c>
      <c r="F37">
        <v>0.499</v>
      </c>
      <c r="G37">
        <v>5.9329999999999998</v>
      </c>
      <c r="H37">
        <v>68.2</v>
      </c>
      <c r="I37">
        <v>3.3603000000000001</v>
      </c>
      <c r="J37">
        <v>5</v>
      </c>
      <c r="K37">
        <v>279</v>
      </c>
      <c r="L37">
        <v>19.2</v>
      </c>
      <c r="M37">
        <v>396.9</v>
      </c>
      <c r="N37">
        <v>9.68</v>
      </c>
    </row>
    <row r="38" spans="1:14" x14ac:dyDescent="0.25">
      <c r="A38">
        <v>20</v>
      </c>
      <c r="B38">
        <v>9.7439999999999999E-2</v>
      </c>
      <c r="C38">
        <v>0</v>
      </c>
      <c r="D38">
        <v>5.96</v>
      </c>
      <c r="E38">
        <v>0</v>
      </c>
      <c r="F38">
        <v>0.499</v>
      </c>
      <c r="G38">
        <v>5.8410000000000002</v>
      </c>
      <c r="H38">
        <v>61.4</v>
      </c>
      <c r="I38">
        <v>3.3778999999999999</v>
      </c>
      <c r="J38">
        <v>5</v>
      </c>
      <c r="K38">
        <v>279</v>
      </c>
      <c r="L38">
        <v>19.2</v>
      </c>
      <c r="M38">
        <v>377.56</v>
      </c>
      <c r="N38">
        <v>11.41</v>
      </c>
    </row>
    <row r="39" spans="1:14" x14ac:dyDescent="0.25">
      <c r="A39">
        <v>21</v>
      </c>
      <c r="B39">
        <v>8.0140000000000003E-2</v>
      </c>
      <c r="C39">
        <v>0</v>
      </c>
      <c r="D39">
        <v>5.96</v>
      </c>
      <c r="E39">
        <v>0</v>
      </c>
      <c r="F39">
        <v>0.499</v>
      </c>
      <c r="G39">
        <v>5.85</v>
      </c>
      <c r="H39">
        <v>41.5</v>
      </c>
      <c r="I39">
        <v>3.9342000000000001</v>
      </c>
      <c r="J39">
        <v>5</v>
      </c>
      <c r="K39">
        <v>279</v>
      </c>
      <c r="L39">
        <v>19.2</v>
      </c>
      <c r="M39">
        <v>396.9</v>
      </c>
      <c r="N39">
        <v>8.77</v>
      </c>
    </row>
    <row r="40" spans="1:14" x14ac:dyDescent="0.25">
      <c r="A40">
        <v>24.7</v>
      </c>
      <c r="B40">
        <v>0.17505000000000001</v>
      </c>
      <c r="C40">
        <v>0</v>
      </c>
      <c r="D40">
        <v>5.96</v>
      </c>
      <c r="E40">
        <v>0</v>
      </c>
      <c r="F40">
        <v>0.499</v>
      </c>
      <c r="G40">
        <v>5.9660000000000002</v>
      </c>
      <c r="H40">
        <v>30.2</v>
      </c>
      <c r="I40">
        <v>3.8473000000000002</v>
      </c>
      <c r="J40">
        <v>5</v>
      </c>
      <c r="K40">
        <v>279</v>
      </c>
      <c r="L40">
        <v>19.2</v>
      </c>
      <c r="M40">
        <v>393.43</v>
      </c>
      <c r="N40">
        <v>10.130000000000001</v>
      </c>
    </row>
    <row r="41" spans="1:14" x14ac:dyDescent="0.25">
      <c r="A41">
        <v>30.8</v>
      </c>
      <c r="B41">
        <v>2.7629999999999998E-2</v>
      </c>
      <c r="C41">
        <v>75</v>
      </c>
      <c r="D41">
        <v>2.95</v>
      </c>
      <c r="E41">
        <v>0</v>
      </c>
      <c r="F41">
        <v>0.42799999999999999</v>
      </c>
      <c r="G41">
        <v>6.5949999999999998</v>
      </c>
      <c r="H41">
        <v>21.8</v>
      </c>
      <c r="I41">
        <v>5.4010999999999996</v>
      </c>
      <c r="J41">
        <v>3</v>
      </c>
      <c r="K41">
        <v>252</v>
      </c>
      <c r="L41">
        <v>18.3</v>
      </c>
      <c r="M41">
        <v>395.63</v>
      </c>
      <c r="N41">
        <v>4.32</v>
      </c>
    </row>
    <row r="42" spans="1:14" x14ac:dyDescent="0.25">
      <c r="A42">
        <v>34.9</v>
      </c>
      <c r="B42">
        <v>3.3590000000000002E-2</v>
      </c>
      <c r="C42">
        <v>75</v>
      </c>
      <c r="D42">
        <v>2.95</v>
      </c>
      <c r="E42">
        <v>0</v>
      </c>
      <c r="F42">
        <v>0.42799999999999999</v>
      </c>
      <c r="G42">
        <v>7.024</v>
      </c>
      <c r="H42">
        <v>15.8</v>
      </c>
      <c r="I42">
        <v>5.4010999999999996</v>
      </c>
      <c r="J42">
        <v>3</v>
      </c>
      <c r="K42">
        <v>252</v>
      </c>
      <c r="L42">
        <v>18.3</v>
      </c>
      <c r="M42">
        <v>395.62</v>
      </c>
      <c r="N42">
        <v>1.98</v>
      </c>
    </row>
    <row r="43" spans="1:14" x14ac:dyDescent="0.25">
      <c r="A43">
        <v>26.6</v>
      </c>
      <c r="B43">
        <v>0.12744</v>
      </c>
      <c r="C43">
        <v>0</v>
      </c>
      <c r="D43">
        <v>6.91</v>
      </c>
      <c r="E43">
        <v>0</v>
      </c>
      <c r="F43">
        <v>0.44800000000000001</v>
      </c>
      <c r="G43">
        <v>6.77</v>
      </c>
      <c r="H43">
        <v>2.9</v>
      </c>
      <c r="I43">
        <v>5.7209000000000003</v>
      </c>
      <c r="J43">
        <v>3</v>
      </c>
      <c r="K43">
        <v>233</v>
      </c>
      <c r="L43">
        <v>17.899999999999999</v>
      </c>
      <c r="M43">
        <v>385.41</v>
      </c>
      <c r="N43">
        <v>4.84</v>
      </c>
    </row>
    <row r="44" spans="1:14" x14ac:dyDescent="0.25">
      <c r="A44">
        <v>25.3</v>
      </c>
      <c r="B44">
        <v>0.14149999999999999</v>
      </c>
      <c r="C44">
        <v>0</v>
      </c>
      <c r="D44">
        <v>6.91</v>
      </c>
      <c r="E44">
        <v>0</v>
      </c>
      <c r="F44">
        <v>0.44800000000000001</v>
      </c>
      <c r="G44">
        <v>6.1689999999999996</v>
      </c>
      <c r="H44">
        <v>6.6</v>
      </c>
      <c r="I44">
        <v>5.7209000000000003</v>
      </c>
      <c r="J44">
        <v>3</v>
      </c>
      <c r="K44">
        <v>233</v>
      </c>
      <c r="L44">
        <v>17.899999999999999</v>
      </c>
      <c r="M44">
        <v>383.37</v>
      </c>
      <c r="N44">
        <v>5.81</v>
      </c>
    </row>
    <row r="45" spans="1:14" x14ac:dyDescent="0.25">
      <c r="A45">
        <v>24.7</v>
      </c>
      <c r="B45">
        <v>0.15936</v>
      </c>
      <c r="C45">
        <v>0</v>
      </c>
      <c r="D45">
        <v>6.91</v>
      </c>
      <c r="E45">
        <v>0</v>
      </c>
      <c r="F45">
        <v>0.44800000000000001</v>
      </c>
      <c r="G45">
        <v>6.2110000000000003</v>
      </c>
      <c r="H45">
        <v>6.5</v>
      </c>
      <c r="I45">
        <v>5.7209000000000003</v>
      </c>
      <c r="J45">
        <v>3</v>
      </c>
      <c r="K45">
        <v>233</v>
      </c>
      <c r="L45">
        <v>17.899999999999999</v>
      </c>
      <c r="M45">
        <v>394.46</v>
      </c>
      <c r="N45">
        <v>7.44</v>
      </c>
    </row>
    <row r="46" spans="1:14" x14ac:dyDescent="0.25">
      <c r="A46">
        <v>21.2</v>
      </c>
      <c r="B46">
        <v>0.12268999999999999</v>
      </c>
      <c r="C46">
        <v>0</v>
      </c>
      <c r="D46">
        <v>6.91</v>
      </c>
      <c r="E46">
        <v>0</v>
      </c>
      <c r="F46">
        <v>0.44800000000000001</v>
      </c>
      <c r="G46">
        <v>6.069</v>
      </c>
      <c r="H46">
        <v>40</v>
      </c>
      <c r="I46">
        <v>5.7209000000000003</v>
      </c>
      <c r="J46">
        <v>3</v>
      </c>
      <c r="K46">
        <v>233</v>
      </c>
      <c r="L46">
        <v>17.899999999999999</v>
      </c>
      <c r="M46">
        <v>389.39</v>
      </c>
      <c r="N46">
        <v>9.5500000000000007</v>
      </c>
    </row>
    <row r="47" spans="1:14" x14ac:dyDescent="0.25">
      <c r="A47">
        <v>19.3</v>
      </c>
      <c r="B47">
        <v>0.17141999999999999</v>
      </c>
      <c r="C47">
        <v>0</v>
      </c>
      <c r="D47">
        <v>6.91</v>
      </c>
      <c r="E47">
        <v>0</v>
      </c>
      <c r="F47">
        <v>0.44800000000000001</v>
      </c>
      <c r="G47">
        <v>5.6820000000000004</v>
      </c>
      <c r="H47">
        <v>33.799999999999997</v>
      </c>
      <c r="I47">
        <v>5.1003999999999996</v>
      </c>
      <c r="J47">
        <v>3</v>
      </c>
      <c r="K47">
        <v>233</v>
      </c>
      <c r="L47">
        <v>17.899999999999999</v>
      </c>
      <c r="M47">
        <v>396.9</v>
      </c>
      <c r="N47">
        <v>10.210000000000001</v>
      </c>
    </row>
    <row r="48" spans="1:14" x14ac:dyDescent="0.25">
      <c r="A48">
        <v>20</v>
      </c>
      <c r="B48">
        <v>0.18836</v>
      </c>
      <c r="C48">
        <v>0</v>
      </c>
      <c r="D48">
        <v>6.91</v>
      </c>
      <c r="E48">
        <v>0</v>
      </c>
      <c r="F48">
        <v>0.44800000000000001</v>
      </c>
      <c r="G48">
        <v>5.7859999999999996</v>
      </c>
      <c r="H48">
        <v>33.299999999999997</v>
      </c>
      <c r="I48">
        <v>5.1003999999999996</v>
      </c>
      <c r="J48">
        <v>3</v>
      </c>
      <c r="K48">
        <v>233</v>
      </c>
      <c r="L48">
        <v>17.899999999999999</v>
      </c>
      <c r="M48">
        <v>396.9</v>
      </c>
      <c r="N48">
        <v>14.15</v>
      </c>
    </row>
    <row r="49" spans="1:14" x14ac:dyDescent="0.25">
      <c r="A49">
        <v>16.600000000000001</v>
      </c>
      <c r="B49">
        <v>0.22927</v>
      </c>
      <c r="C49">
        <v>0</v>
      </c>
      <c r="D49">
        <v>6.91</v>
      </c>
      <c r="E49">
        <v>0</v>
      </c>
      <c r="F49">
        <v>0.44800000000000001</v>
      </c>
      <c r="G49">
        <v>6.03</v>
      </c>
      <c r="H49">
        <v>85.5</v>
      </c>
      <c r="I49">
        <v>5.6894</v>
      </c>
      <c r="J49">
        <v>3</v>
      </c>
      <c r="K49">
        <v>233</v>
      </c>
      <c r="L49">
        <v>17.899999999999999</v>
      </c>
      <c r="M49">
        <v>392.74</v>
      </c>
      <c r="N49">
        <v>18.8</v>
      </c>
    </row>
    <row r="50" spans="1:14" x14ac:dyDescent="0.25">
      <c r="A50">
        <v>14.4</v>
      </c>
      <c r="B50">
        <v>0.25386999999999998</v>
      </c>
      <c r="C50">
        <v>0</v>
      </c>
      <c r="D50">
        <v>6.91</v>
      </c>
      <c r="E50">
        <v>0</v>
      </c>
      <c r="F50">
        <v>0.44800000000000001</v>
      </c>
      <c r="G50">
        <v>5.399</v>
      </c>
      <c r="H50">
        <v>95.3</v>
      </c>
      <c r="I50">
        <v>5.87</v>
      </c>
      <c r="J50">
        <v>3</v>
      </c>
      <c r="K50">
        <v>233</v>
      </c>
      <c r="L50">
        <v>17.899999999999999</v>
      </c>
      <c r="M50">
        <v>396.9</v>
      </c>
      <c r="N50">
        <v>30.81</v>
      </c>
    </row>
    <row r="51" spans="1:14" x14ac:dyDescent="0.25">
      <c r="A51">
        <v>19.399999999999999</v>
      </c>
      <c r="B51">
        <v>0.21976999999999999</v>
      </c>
      <c r="C51">
        <v>0</v>
      </c>
      <c r="D51">
        <v>6.91</v>
      </c>
      <c r="E51">
        <v>0</v>
      </c>
      <c r="F51">
        <v>0.44800000000000001</v>
      </c>
      <c r="G51">
        <v>5.6020000000000003</v>
      </c>
      <c r="H51">
        <v>62</v>
      </c>
      <c r="I51">
        <v>6.0876999999999999</v>
      </c>
      <c r="J51">
        <v>3</v>
      </c>
      <c r="K51">
        <v>233</v>
      </c>
      <c r="L51">
        <v>17.899999999999999</v>
      </c>
      <c r="M51">
        <v>396.9</v>
      </c>
      <c r="N51">
        <v>16.2</v>
      </c>
    </row>
    <row r="52" spans="1:14" x14ac:dyDescent="0.25">
      <c r="A52">
        <v>19.7</v>
      </c>
      <c r="B52">
        <v>8.8730000000000003E-2</v>
      </c>
      <c r="C52">
        <v>21</v>
      </c>
      <c r="D52">
        <v>5.64</v>
      </c>
      <c r="E52">
        <v>0</v>
      </c>
      <c r="F52">
        <v>0.439</v>
      </c>
      <c r="G52">
        <v>5.9630000000000001</v>
      </c>
      <c r="H52">
        <v>45.7</v>
      </c>
      <c r="I52">
        <v>6.8147000000000002</v>
      </c>
      <c r="J52">
        <v>4</v>
      </c>
      <c r="K52">
        <v>243</v>
      </c>
      <c r="L52">
        <v>16.8</v>
      </c>
      <c r="M52">
        <v>395.56</v>
      </c>
      <c r="N52">
        <v>13.45</v>
      </c>
    </row>
    <row r="53" spans="1:14" x14ac:dyDescent="0.25">
      <c r="A53">
        <v>20.5</v>
      </c>
      <c r="B53">
        <v>4.3369999999999999E-2</v>
      </c>
      <c r="C53">
        <v>21</v>
      </c>
      <c r="D53">
        <v>5.64</v>
      </c>
      <c r="E53">
        <v>0</v>
      </c>
      <c r="F53">
        <v>0.439</v>
      </c>
      <c r="G53">
        <v>6.1150000000000002</v>
      </c>
      <c r="H53">
        <v>63</v>
      </c>
      <c r="I53">
        <v>6.8147000000000002</v>
      </c>
      <c r="J53">
        <v>4</v>
      </c>
      <c r="K53">
        <v>243</v>
      </c>
      <c r="L53">
        <v>16.8</v>
      </c>
      <c r="M53">
        <v>393.97</v>
      </c>
      <c r="N53">
        <v>9.43</v>
      </c>
    </row>
    <row r="54" spans="1:14" x14ac:dyDescent="0.25">
      <c r="A54">
        <v>25</v>
      </c>
      <c r="B54">
        <v>5.3600000000000002E-2</v>
      </c>
      <c r="C54">
        <v>21</v>
      </c>
      <c r="D54">
        <v>5.64</v>
      </c>
      <c r="E54">
        <v>0</v>
      </c>
      <c r="F54">
        <v>0.439</v>
      </c>
      <c r="G54">
        <v>6.5110000000000001</v>
      </c>
      <c r="H54">
        <v>21.1</v>
      </c>
      <c r="I54">
        <v>6.8147000000000002</v>
      </c>
      <c r="J54">
        <v>4</v>
      </c>
      <c r="K54">
        <v>243</v>
      </c>
      <c r="L54">
        <v>16.8</v>
      </c>
      <c r="M54">
        <v>396.9</v>
      </c>
      <c r="N54">
        <v>5.28</v>
      </c>
    </row>
    <row r="55" spans="1:14" x14ac:dyDescent="0.25">
      <c r="A55">
        <v>23.4</v>
      </c>
      <c r="B55">
        <v>4.981E-2</v>
      </c>
      <c r="C55">
        <v>21</v>
      </c>
      <c r="D55">
        <v>5.64</v>
      </c>
      <c r="E55">
        <v>0</v>
      </c>
      <c r="F55">
        <v>0.439</v>
      </c>
      <c r="G55">
        <v>5.9980000000000002</v>
      </c>
      <c r="H55">
        <v>21.4</v>
      </c>
      <c r="I55">
        <v>6.8147000000000002</v>
      </c>
      <c r="J55">
        <v>4</v>
      </c>
      <c r="K55">
        <v>243</v>
      </c>
      <c r="L55">
        <v>16.8</v>
      </c>
      <c r="M55">
        <v>396.9</v>
      </c>
      <c r="N55">
        <v>8.43</v>
      </c>
    </row>
    <row r="56" spans="1:14" x14ac:dyDescent="0.25">
      <c r="A56">
        <v>18.899999999999999</v>
      </c>
      <c r="B56">
        <v>1.3599999999999999E-2</v>
      </c>
      <c r="C56">
        <v>75</v>
      </c>
      <c r="D56">
        <v>4</v>
      </c>
      <c r="E56">
        <v>0</v>
      </c>
      <c r="F56">
        <v>0.41</v>
      </c>
      <c r="G56">
        <v>5.8879999999999999</v>
      </c>
      <c r="H56">
        <v>47.6</v>
      </c>
      <c r="I56">
        <v>7.3197000000000001</v>
      </c>
      <c r="J56">
        <v>3</v>
      </c>
      <c r="K56">
        <v>469</v>
      </c>
      <c r="L56">
        <v>21.1</v>
      </c>
      <c r="M56">
        <v>396.9</v>
      </c>
      <c r="N56">
        <v>14.8</v>
      </c>
    </row>
    <row r="57" spans="1:14" x14ac:dyDescent="0.25">
      <c r="A57">
        <v>35.4</v>
      </c>
      <c r="B57">
        <v>1.311E-2</v>
      </c>
      <c r="C57">
        <v>90</v>
      </c>
      <c r="D57">
        <v>1.22</v>
      </c>
      <c r="E57">
        <v>0</v>
      </c>
      <c r="F57">
        <v>0.40300000000000002</v>
      </c>
      <c r="G57">
        <v>7.2489999999999997</v>
      </c>
      <c r="H57">
        <v>21.9</v>
      </c>
      <c r="I57">
        <v>8.6966000000000001</v>
      </c>
      <c r="J57">
        <v>5</v>
      </c>
      <c r="K57">
        <v>226</v>
      </c>
      <c r="L57">
        <v>17.899999999999999</v>
      </c>
      <c r="M57">
        <v>395.93</v>
      </c>
      <c r="N57">
        <v>4.8099999999999996</v>
      </c>
    </row>
    <row r="58" spans="1:14" x14ac:dyDescent="0.25">
      <c r="A58">
        <v>24.7</v>
      </c>
      <c r="B58">
        <v>2.0549999999999999E-2</v>
      </c>
      <c r="C58">
        <v>85</v>
      </c>
      <c r="D58">
        <v>0.74</v>
      </c>
      <c r="E58">
        <v>0</v>
      </c>
      <c r="F58">
        <v>0.41</v>
      </c>
      <c r="G58">
        <v>6.383</v>
      </c>
      <c r="H58">
        <v>35.700000000000003</v>
      </c>
      <c r="I58">
        <v>9.1875999999999998</v>
      </c>
      <c r="J58">
        <v>2</v>
      </c>
      <c r="K58">
        <v>313</v>
      </c>
      <c r="L58">
        <v>17.3</v>
      </c>
      <c r="M58">
        <v>396.9</v>
      </c>
      <c r="N58">
        <v>5.77</v>
      </c>
    </row>
    <row r="59" spans="1:14" x14ac:dyDescent="0.25">
      <c r="A59">
        <v>31.6</v>
      </c>
      <c r="B59">
        <v>1.4319999999999999E-2</v>
      </c>
      <c r="C59">
        <v>100</v>
      </c>
      <c r="D59">
        <v>1.32</v>
      </c>
      <c r="E59">
        <v>0</v>
      </c>
      <c r="F59">
        <v>0.41099999999999998</v>
      </c>
      <c r="G59">
        <v>6.8159999999999998</v>
      </c>
      <c r="H59">
        <v>40.5</v>
      </c>
      <c r="I59">
        <v>8.3247999999999998</v>
      </c>
      <c r="J59">
        <v>5</v>
      </c>
      <c r="K59">
        <v>256</v>
      </c>
      <c r="L59">
        <v>15.1</v>
      </c>
      <c r="M59">
        <v>392.9</v>
      </c>
      <c r="N59">
        <v>3.95</v>
      </c>
    </row>
    <row r="60" spans="1:14" x14ac:dyDescent="0.25">
      <c r="A60">
        <v>23.3</v>
      </c>
      <c r="B60">
        <v>0.15445</v>
      </c>
      <c r="C60">
        <v>25</v>
      </c>
      <c r="D60">
        <v>5.13</v>
      </c>
      <c r="E60">
        <v>0</v>
      </c>
      <c r="F60">
        <v>0.45300000000000001</v>
      </c>
      <c r="G60">
        <v>6.1449999999999996</v>
      </c>
      <c r="H60">
        <v>29.2</v>
      </c>
      <c r="I60">
        <v>7.8148</v>
      </c>
      <c r="J60">
        <v>8</v>
      </c>
      <c r="K60">
        <v>284</v>
      </c>
      <c r="L60">
        <v>19.7</v>
      </c>
      <c r="M60">
        <v>390.68</v>
      </c>
      <c r="N60">
        <v>6.86</v>
      </c>
    </row>
    <row r="61" spans="1:14" x14ac:dyDescent="0.25">
      <c r="A61">
        <v>19.600000000000001</v>
      </c>
      <c r="B61">
        <v>0.10328</v>
      </c>
      <c r="C61">
        <v>25</v>
      </c>
      <c r="D61">
        <v>5.13</v>
      </c>
      <c r="E61">
        <v>0</v>
      </c>
      <c r="F61">
        <v>0.45300000000000001</v>
      </c>
      <c r="G61">
        <v>5.9269999999999996</v>
      </c>
      <c r="H61">
        <v>47.2</v>
      </c>
      <c r="I61">
        <v>6.9320000000000004</v>
      </c>
      <c r="J61">
        <v>8</v>
      </c>
      <c r="K61">
        <v>284</v>
      </c>
      <c r="L61">
        <v>19.7</v>
      </c>
      <c r="M61">
        <v>396.9</v>
      </c>
      <c r="N61">
        <v>9.2200000000000006</v>
      </c>
    </row>
    <row r="62" spans="1:14" x14ac:dyDescent="0.25">
      <c r="A62">
        <v>18.7</v>
      </c>
      <c r="B62">
        <v>0.14932000000000001</v>
      </c>
      <c r="C62">
        <v>25</v>
      </c>
      <c r="D62">
        <v>5.13</v>
      </c>
      <c r="E62">
        <v>0</v>
      </c>
      <c r="F62">
        <v>0.45300000000000001</v>
      </c>
      <c r="G62">
        <v>5.7409999999999997</v>
      </c>
      <c r="H62">
        <v>66.2</v>
      </c>
      <c r="I62">
        <v>7.2253999999999996</v>
      </c>
      <c r="J62">
        <v>8</v>
      </c>
      <c r="K62">
        <v>284</v>
      </c>
      <c r="L62">
        <v>19.7</v>
      </c>
      <c r="M62">
        <v>395.11</v>
      </c>
      <c r="N62">
        <v>13.15</v>
      </c>
    </row>
    <row r="63" spans="1:14" x14ac:dyDescent="0.25">
      <c r="A63">
        <v>16</v>
      </c>
      <c r="B63">
        <v>0.17171</v>
      </c>
      <c r="C63">
        <v>25</v>
      </c>
      <c r="D63">
        <v>5.13</v>
      </c>
      <c r="E63">
        <v>0</v>
      </c>
      <c r="F63">
        <v>0.45300000000000001</v>
      </c>
      <c r="G63">
        <v>5.9660000000000002</v>
      </c>
      <c r="H63">
        <v>93.4</v>
      </c>
      <c r="I63">
        <v>6.8185000000000002</v>
      </c>
      <c r="J63">
        <v>8</v>
      </c>
      <c r="K63">
        <v>284</v>
      </c>
      <c r="L63">
        <v>19.7</v>
      </c>
      <c r="M63">
        <v>378.08</v>
      </c>
      <c r="N63">
        <v>14.44</v>
      </c>
    </row>
    <row r="64" spans="1:14" x14ac:dyDescent="0.25">
      <c r="A64">
        <v>22.2</v>
      </c>
      <c r="B64">
        <v>0.11027000000000001</v>
      </c>
      <c r="C64">
        <v>25</v>
      </c>
      <c r="D64">
        <v>5.13</v>
      </c>
      <c r="E64">
        <v>0</v>
      </c>
      <c r="F64">
        <v>0.45300000000000001</v>
      </c>
      <c r="G64">
        <v>6.4560000000000004</v>
      </c>
      <c r="H64">
        <v>67.8</v>
      </c>
      <c r="I64">
        <v>7.2255000000000003</v>
      </c>
      <c r="J64">
        <v>8</v>
      </c>
      <c r="K64">
        <v>284</v>
      </c>
      <c r="L64">
        <v>19.7</v>
      </c>
      <c r="M64">
        <v>396.9</v>
      </c>
      <c r="N64">
        <v>6.73</v>
      </c>
    </row>
    <row r="65" spans="1:14" x14ac:dyDescent="0.25">
      <c r="A65">
        <v>25</v>
      </c>
      <c r="B65">
        <v>0.1265</v>
      </c>
      <c r="C65">
        <v>25</v>
      </c>
      <c r="D65">
        <v>5.13</v>
      </c>
      <c r="E65">
        <v>0</v>
      </c>
      <c r="F65">
        <v>0.45300000000000001</v>
      </c>
      <c r="G65">
        <v>6.7619999999999996</v>
      </c>
      <c r="H65">
        <v>43.4</v>
      </c>
      <c r="I65">
        <v>7.9809000000000001</v>
      </c>
      <c r="J65">
        <v>8</v>
      </c>
      <c r="K65">
        <v>284</v>
      </c>
      <c r="L65">
        <v>19.7</v>
      </c>
      <c r="M65">
        <v>395.58</v>
      </c>
      <c r="N65">
        <v>9.5</v>
      </c>
    </row>
    <row r="66" spans="1:14" x14ac:dyDescent="0.25">
      <c r="A66">
        <v>33</v>
      </c>
      <c r="B66">
        <v>1.951E-2</v>
      </c>
      <c r="C66">
        <v>17.5</v>
      </c>
      <c r="D66">
        <v>1.38</v>
      </c>
      <c r="E66">
        <v>0</v>
      </c>
      <c r="F66">
        <v>0.41610000000000003</v>
      </c>
      <c r="G66">
        <v>7.1040000000000001</v>
      </c>
      <c r="H66">
        <v>59.5</v>
      </c>
      <c r="I66">
        <v>9.2228999999999992</v>
      </c>
      <c r="J66">
        <v>3</v>
      </c>
      <c r="K66">
        <v>216</v>
      </c>
      <c r="L66">
        <v>18.600000000000001</v>
      </c>
      <c r="M66">
        <v>393.24</v>
      </c>
      <c r="N66">
        <v>8.0500000000000007</v>
      </c>
    </row>
    <row r="67" spans="1:14" x14ac:dyDescent="0.25">
      <c r="A67">
        <v>23.5</v>
      </c>
      <c r="B67">
        <v>3.5839999999999997E-2</v>
      </c>
      <c r="C67">
        <v>80</v>
      </c>
      <c r="D67">
        <v>3.37</v>
      </c>
      <c r="E67">
        <v>0</v>
      </c>
      <c r="F67">
        <v>0.39800000000000002</v>
      </c>
      <c r="G67">
        <v>6.29</v>
      </c>
      <c r="H67">
        <v>17.8</v>
      </c>
      <c r="I67">
        <v>6.6115000000000004</v>
      </c>
      <c r="J67">
        <v>4</v>
      </c>
      <c r="K67">
        <v>337</v>
      </c>
      <c r="L67">
        <v>16.100000000000001</v>
      </c>
      <c r="M67">
        <v>396.9</v>
      </c>
      <c r="N67">
        <v>4.67</v>
      </c>
    </row>
    <row r="68" spans="1:14" x14ac:dyDescent="0.25">
      <c r="A68">
        <v>19.399999999999999</v>
      </c>
      <c r="B68">
        <v>4.3790000000000003E-2</v>
      </c>
      <c r="C68">
        <v>80</v>
      </c>
      <c r="D68">
        <v>3.37</v>
      </c>
      <c r="E68">
        <v>0</v>
      </c>
      <c r="F68">
        <v>0.39800000000000002</v>
      </c>
      <c r="G68">
        <v>5.7869999999999999</v>
      </c>
      <c r="H68">
        <v>31.1</v>
      </c>
      <c r="I68">
        <v>6.6115000000000004</v>
      </c>
      <c r="J68">
        <v>4</v>
      </c>
      <c r="K68">
        <v>337</v>
      </c>
      <c r="L68">
        <v>16.100000000000001</v>
      </c>
      <c r="M68">
        <v>396.9</v>
      </c>
      <c r="N68">
        <v>10.24</v>
      </c>
    </row>
    <row r="69" spans="1:14" x14ac:dyDescent="0.25">
      <c r="A69">
        <v>22</v>
      </c>
      <c r="B69">
        <v>5.7889999999999997E-2</v>
      </c>
      <c r="C69">
        <v>12.5</v>
      </c>
      <c r="D69">
        <v>6.07</v>
      </c>
      <c r="E69">
        <v>0</v>
      </c>
      <c r="F69">
        <v>0.40899999999999997</v>
      </c>
      <c r="G69">
        <v>5.8780000000000001</v>
      </c>
      <c r="H69">
        <v>21.4</v>
      </c>
      <c r="I69">
        <v>6.4980000000000002</v>
      </c>
      <c r="J69">
        <v>4</v>
      </c>
      <c r="K69">
        <v>345</v>
      </c>
      <c r="L69">
        <v>18.899999999999999</v>
      </c>
      <c r="M69">
        <v>396.21</v>
      </c>
      <c r="N69">
        <v>8.1</v>
      </c>
    </row>
    <row r="70" spans="1:14" x14ac:dyDescent="0.25">
      <c r="A70">
        <v>17.399999999999999</v>
      </c>
      <c r="B70">
        <v>0.13553999999999999</v>
      </c>
      <c r="C70">
        <v>12.5</v>
      </c>
      <c r="D70">
        <v>6.07</v>
      </c>
      <c r="E70">
        <v>0</v>
      </c>
      <c r="F70">
        <v>0.40899999999999997</v>
      </c>
      <c r="G70">
        <v>5.5940000000000003</v>
      </c>
      <c r="H70">
        <v>36.799999999999997</v>
      </c>
      <c r="I70">
        <v>6.4980000000000002</v>
      </c>
      <c r="J70">
        <v>4</v>
      </c>
      <c r="K70">
        <v>345</v>
      </c>
      <c r="L70">
        <v>18.899999999999999</v>
      </c>
      <c r="M70">
        <v>396.9</v>
      </c>
      <c r="N70">
        <v>13.09</v>
      </c>
    </row>
    <row r="71" spans="1:14" x14ac:dyDescent="0.25">
      <c r="A71">
        <v>20.9</v>
      </c>
      <c r="B71">
        <v>0.12816</v>
      </c>
      <c r="C71">
        <v>12.5</v>
      </c>
      <c r="D71">
        <v>6.07</v>
      </c>
      <c r="E71">
        <v>0</v>
      </c>
      <c r="F71">
        <v>0.40899999999999997</v>
      </c>
      <c r="G71">
        <v>5.8849999999999998</v>
      </c>
      <c r="H71">
        <v>33</v>
      </c>
      <c r="I71">
        <v>6.4980000000000002</v>
      </c>
      <c r="J71">
        <v>4</v>
      </c>
      <c r="K71">
        <v>345</v>
      </c>
      <c r="L71">
        <v>18.899999999999999</v>
      </c>
      <c r="M71">
        <v>396.9</v>
      </c>
      <c r="N71">
        <v>8.7899999999999991</v>
      </c>
    </row>
    <row r="72" spans="1:14" x14ac:dyDescent="0.25">
      <c r="A72">
        <v>24.2</v>
      </c>
      <c r="B72">
        <v>8.8260000000000005E-2</v>
      </c>
      <c r="C72">
        <v>0</v>
      </c>
      <c r="D72">
        <v>10.81</v>
      </c>
      <c r="E72">
        <v>0</v>
      </c>
      <c r="F72">
        <v>0.41299999999999998</v>
      </c>
      <c r="G72">
        <v>6.4169999999999998</v>
      </c>
      <c r="H72">
        <v>6.6</v>
      </c>
      <c r="I72">
        <v>5.2873000000000001</v>
      </c>
      <c r="J72">
        <v>4</v>
      </c>
      <c r="K72">
        <v>305</v>
      </c>
      <c r="L72">
        <v>19.2</v>
      </c>
      <c r="M72">
        <v>383.73</v>
      </c>
      <c r="N72">
        <v>6.72</v>
      </c>
    </row>
    <row r="73" spans="1:14" x14ac:dyDescent="0.25">
      <c r="A73">
        <v>21.7</v>
      </c>
      <c r="B73">
        <v>0.15876000000000001</v>
      </c>
      <c r="C73">
        <v>0</v>
      </c>
      <c r="D73">
        <v>10.81</v>
      </c>
      <c r="E73">
        <v>0</v>
      </c>
      <c r="F73">
        <v>0.41299999999999998</v>
      </c>
      <c r="G73">
        <v>5.9610000000000003</v>
      </c>
      <c r="H73">
        <v>17.5</v>
      </c>
      <c r="I73">
        <v>5.2873000000000001</v>
      </c>
      <c r="J73">
        <v>4</v>
      </c>
      <c r="K73">
        <v>305</v>
      </c>
      <c r="L73">
        <v>19.2</v>
      </c>
      <c r="M73">
        <v>376.94</v>
      </c>
      <c r="N73">
        <v>9.8800000000000008</v>
      </c>
    </row>
    <row r="74" spans="1:14" x14ac:dyDescent="0.25">
      <c r="A74">
        <v>22.8</v>
      </c>
      <c r="B74">
        <v>9.1639999999999999E-2</v>
      </c>
      <c r="C74">
        <v>0</v>
      </c>
      <c r="D74">
        <v>10.81</v>
      </c>
      <c r="E74">
        <v>0</v>
      </c>
      <c r="F74">
        <v>0.41299999999999998</v>
      </c>
      <c r="G74">
        <v>6.0650000000000004</v>
      </c>
      <c r="H74">
        <v>7.8</v>
      </c>
      <c r="I74">
        <v>5.2873000000000001</v>
      </c>
      <c r="J74">
        <v>4</v>
      </c>
      <c r="K74">
        <v>305</v>
      </c>
      <c r="L74">
        <v>19.2</v>
      </c>
      <c r="M74">
        <v>390.91</v>
      </c>
      <c r="N74">
        <v>5.52</v>
      </c>
    </row>
    <row r="75" spans="1:14" x14ac:dyDescent="0.25">
      <c r="A75">
        <v>23.4</v>
      </c>
      <c r="B75">
        <v>0.19539000000000001</v>
      </c>
      <c r="C75">
        <v>0</v>
      </c>
      <c r="D75">
        <v>10.81</v>
      </c>
      <c r="E75">
        <v>0</v>
      </c>
      <c r="F75">
        <v>0.41299999999999998</v>
      </c>
      <c r="G75">
        <v>6.2450000000000001</v>
      </c>
      <c r="H75">
        <v>6.2</v>
      </c>
      <c r="I75">
        <v>5.2873000000000001</v>
      </c>
      <c r="J75">
        <v>4</v>
      </c>
      <c r="K75">
        <v>305</v>
      </c>
      <c r="L75">
        <v>19.2</v>
      </c>
      <c r="M75">
        <v>377.17</v>
      </c>
      <c r="N75">
        <v>7.54</v>
      </c>
    </row>
    <row r="76" spans="1:14" x14ac:dyDescent="0.25">
      <c r="A76">
        <v>24.1</v>
      </c>
      <c r="B76">
        <v>7.8960000000000002E-2</v>
      </c>
      <c r="C76">
        <v>0</v>
      </c>
      <c r="D76">
        <v>12.83</v>
      </c>
      <c r="E76">
        <v>0</v>
      </c>
      <c r="F76">
        <v>0.437</v>
      </c>
      <c r="G76">
        <v>6.2729999999999997</v>
      </c>
      <c r="H76">
        <v>6</v>
      </c>
      <c r="I76">
        <v>4.2515000000000001</v>
      </c>
      <c r="J76">
        <v>5</v>
      </c>
      <c r="K76">
        <v>398</v>
      </c>
      <c r="L76">
        <v>18.7</v>
      </c>
      <c r="M76">
        <v>394.92</v>
      </c>
      <c r="N76">
        <v>6.78</v>
      </c>
    </row>
    <row r="77" spans="1:14" x14ac:dyDescent="0.25">
      <c r="A77">
        <v>21.4</v>
      </c>
      <c r="B77">
        <v>9.5119999999999996E-2</v>
      </c>
      <c r="C77">
        <v>0</v>
      </c>
      <c r="D77">
        <v>12.83</v>
      </c>
      <c r="E77">
        <v>0</v>
      </c>
      <c r="F77">
        <v>0.437</v>
      </c>
      <c r="G77">
        <v>6.2859999999999996</v>
      </c>
      <c r="H77">
        <v>45</v>
      </c>
      <c r="I77">
        <v>4.5026000000000002</v>
      </c>
      <c r="J77">
        <v>5</v>
      </c>
      <c r="K77">
        <v>398</v>
      </c>
      <c r="L77">
        <v>18.7</v>
      </c>
      <c r="M77">
        <v>383.23</v>
      </c>
      <c r="N77">
        <v>8.94</v>
      </c>
    </row>
    <row r="78" spans="1:14" x14ac:dyDescent="0.25">
      <c r="A78">
        <v>20</v>
      </c>
      <c r="B78">
        <v>0.10153</v>
      </c>
      <c r="C78">
        <v>0</v>
      </c>
      <c r="D78">
        <v>12.83</v>
      </c>
      <c r="E78">
        <v>0</v>
      </c>
      <c r="F78">
        <v>0.437</v>
      </c>
      <c r="G78">
        <v>6.2789999999999999</v>
      </c>
      <c r="H78">
        <v>74.5</v>
      </c>
      <c r="I78">
        <v>4.0522</v>
      </c>
      <c r="J78">
        <v>5</v>
      </c>
      <c r="K78">
        <v>398</v>
      </c>
      <c r="L78">
        <v>18.7</v>
      </c>
      <c r="M78">
        <v>373.66</v>
      </c>
      <c r="N78">
        <v>11.97</v>
      </c>
    </row>
    <row r="79" spans="1:14" x14ac:dyDescent="0.25">
      <c r="A79">
        <v>20.8</v>
      </c>
      <c r="B79">
        <v>8.7069999999999995E-2</v>
      </c>
      <c r="C79">
        <v>0</v>
      </c>
      <c r="D79">
        <v>12.83</v>
      </c>
      <c r="E79">
        <v>0</v>
      </c>
      <c r="F79">
        <v>0.437</v>
      </c>
      <c r="G79">
        <v>6.14</v>
      </c>
      <c r="H79">
        <v>45.8</v>
      </c>
      <c r="I79">
        <v>4.0904999999999996</v>
      </c>
      <c r="J79">
        <v>5</v>
      </c>
      <c r="K79">
        <v>398</v>
      </c>
      <c r="L79">
        <v>18.7</v>
      </c>
      <c r="M79">
        <v>386.96</v>
      </c>
      <c r="N79">
        <v>10.27</v>
      </c>
    </row>
    <row r="80" spans="1:14" x14ac:dyDescent="0.25">
      <c r="A80">
        <v>21.2</v>
      </c>
      <c r="B80">
        <v>5.6460000000000003E-2</v>
      </c>
      <c r="C80">
        <v>0</v>
      </c>
      <c r="D80">
        <v>12.83</v>
      </c>
      <c r="E80">
        <v>0</v>
      </c>
      <c r="F80">
        <v>0.437</v>
      </c>
      <c r="G80">
        <v>6.2320000000000002</v>
      </c>
      <c r="H80">
        <v>53.7</v>
      </c>
      <c r="I80">
        <v>5.0141</v>
      </c>
      <c r="J80">
        <v>5</v>
      </c>
      <c r="K80">
        <v>398</v>
      </c>
      <c r="L80">
        <v>18.7</v>
      </c>
      <c r="M80">
        <v>386.4</v>
      </c>
      <c r="N80">
        <v>12.34</v>
      </c>
    </row>
    <row r="81" spans="1:14" x14ac:dyDescent="0.25">
      <c r="A81">
        <v>20.3</v>
      </c>
      <c r="B81">
        <v>8.387E-2</v>
      </c>
      <c r="C81">
        <v>0</v>
      </c>
      <c r="D81">
        <v>12.83</v>
      </c>
      <c r="E81">
        <v>0</v>
      </c>
      <c r="F81">
        <v>0.437</v>
      </c>
      <c r="G81">
        <v>5.8739999999999997</v>
      </c>
      <c r="H81">
        <v>36.6</v>
      </c>
      <c r="I81">
        <v>4.5026000000000002</v>
      </c>
      <c r="J81">
        <v>5</v>
      </c>
      <c r="K81">
        <v>398</v>
      </c>
      <c r="L81">
        <v>18.7</v>
      </c>
      <c r="M81">
        <v>396.06</v>
      </c>
      <c r="N81">
        <v>9.1</v>
      </c>
    </row>
    <row r="82" spans="1:14" x14ac:dyDescent="0.25">
      <c r="A82">
        <v>28</v>
      </c>
      <c r="B82">
        <v>4.113E-2</v>
      </c>
      <c r="C82">
        <v>25</v>
      </c>
      <c r="D82">
        <v>4.8600000000000003</v>
      </c>
      <c r="E82">
        <v>0</v>
      </c>
      <c r="F82">
        <v>0.42599999999999999</v>
      </c>
      <c r="G82">
        <v>6.7270000000000003</v>
      </c>
      <c r="H82">
        <v>33.5</v>
      </c>
      <c r="I82">
        <v>5.4006999999999996</v>
      </c>
      <c r="J82">
        <v>4</v>
      </c>
      <c r="K82">
        <v>281</v>
      </c>
      <c r="L82">
        <v>19</v>
      </c>
      <c r="M82">
        <v>396.9</v>
      </c>
      <c r="N82">
        <v>5.29</v>
      </c>
    </row>
    <row r="83" spans="1:14" x14ac:dyDescent="0.25">
      <c r="A83">
        <v>23.9</v>
      </c>
      <c r="B83">
        <v>4.462E-2</v>
      </c>
      <c r="C83">
        <v>25</v>
      </c>
      <c r="D83">
        <v>4.8600000000000003</v>
      </c>
      <c r="E83">
        <v>0</v>
      </c>
      <c r="F83">
        <v>0.42599999999999999</v>
      </c>
      <c r="G83">
        <v>6.6189999999999998</v>
      </c>
      <c r="H83">
        <v>70.400000000000006</v>
      </c>
      <c r="I83">
        <v>5.4006999999999996</v>
      </c>
      <c r="J83">
        <v>4</v>
      </c>
      <c r="K83">
        <v>281</v>
      </c>
      <c r="L83">
        <v>19</v>
      </c>
      <c r="M83">
        <v>395.63</v>
      </c>
      <c r="N83">
        <v>7.22</v>
      </c>
    </row>
    <row r="84" spans="1:14" x14ac:dyDescent="0.25">
      <c r="A84">
        <v>24.8</v>
      </c>
      <c r="B84">
        <v>3.6589999999999998E-2</v>
      </c>
      <c r="C84">
        <v>25</v>
      </c>
      <c r="D84">
        <v>4.8600000000000003</v>
      </c>
      <c r="E84">
        <v>0</v>
      </c>
      <c r="F84">
        <v>0.42599999999999999</v>
      </c>
      <c r="G84">
        <v>6.3019999999999996</v>
      </c>
      <c r="H84">
        <v>32.200000000000003</v>
      </c>
      <c r="I84">
        <v>5.4006999999999996</v>
      </c>
      <c r="J84">
        <v>4</v>
      </c>
      <c r="K84">
        <v>281</v>
      </c>
      <c r="L84">
        <v>19</v>
      </c>
      <c r="M84">
        <v>396.9</v>
      </c>
      <c r="N84">
        <v>6.72</v>
      </c>
    </row>
    <row r="85" spans="1:14" x14ac:dyDescent="0.25">
      <c r="A85">
        <v>22.9</v>
      </c>
      <c r="B85">
        <v>3.551E-2</v>
      </c>
      <c r="C85">
        <v>25</v>
      </c>
      <c r="D85">
        <v>4.8600000000000003</v>
      </c>
      <c r="E85">
        <v>0</v>
      </c>
      <c r="F85">
        <v>0.42599999999999999</v>
      </c>
      <c r="G85">
        <v>6.1669999999999998</v>
      </c>
      <c r="H85">
        <v>46.7</v>
      </c>
      <c r="I85">
        <v>5.4006999999999996</v>
      </c>
      <c r="J85">
        <v>4</v>
      </c>
      <c r="K85">
        <v>281</v>
      </c>
      <c r="L85">
        <v>19</v>
      </c>
      <c r="M85">
        <v>390.64</v>
      </c>
      <c r="N85">
        <v>7.51</v>
      </c>
    </row>
    <row r="86" spans="1:14" x14ac:dyDescent="0.25">
      <c r="A86">
        <v>23.9</v>
      </c>
      <c r="B86">
        <v>5.0590000000000003E-2</v>
      </c>
      <c r="C86">
        <v>0</v>
      </c>
      <c r="D86">
        <v>4.49</v>
      </c>
      <c r="E86">
        <v>0</v>
      </c>
      <c r="F86">
        <v>0.44900000000000001</v>
      </c>
      <c r="G86">
        <v>6.3890000000000002</v>
      </c>
      <c r="H86">
        <v>48</v>
      </c>
      <c r="I86">
        <v>4.7793999999999999</v>
      </c>
      <c r="J86">
        <v>3</v>
      </c>
      <c r="K86">
        <v>247</v>
      </c>
      <c r="L86">
        <v>18.5</v>
      </c>
      <c r="M86">
        <v>396.9</v>
      </c>
      <c r="N86">
        <v>9.6199999999999992</v>
      </c>
    </row>
    <row r="87" spans="1:14" x14ac:dyDescent="0.25">
      <c r="A87">
        <v>26.6</v>
      </c>
      <c r="B87">
        <v>5.7349999999999998E-2</v>
      </c>
      <c r="C87">
        <v>0</v>
      </c>
      <c r="D87">
        <v>4.49</v>
      </c>
      <c r="E87">
        <v>0</v>
      </c>
      <c r="F87">
        <v>0.44900000000000001</v>
      </c>
      <c r="G87">
        <v>6.63</v>
      </c>
      <c r="H87">
        <v>56.1</v>
      </c>
      <c r="I87">
        <v>4.4377000000000004</v>
      </c>
      <c r="J87">
        <v>3</v>
      </c>
      <c r="K87">
        <v>247</v>
      </c>
      <c r="L87">
        <v>18.5</v>
      </c>
      <c r="M87">
        <v>392.3</v>
      </c>
      <c r="N87">
        <v>6.53</v>
      </c>
    </row>
    <row r="88" spans="1:14" x14ac:dyDescent="0.25">
      <c r="A88">
        <v>22.5</v>
      </c>
      <c r="B88">
        <v>5.1880000000000003E-2</v>
      </c>
      <c r="C88">
        <v>0</v>
      </c>
      <c r="D88">
        <v>4.49</v>
      </c>
      <c r="E88">
        <v>0</v>
      </c>
      <c r="F88">
        <v>0.44900000000000001</v>
      </c>
      <c r="G88">
        <v>6.0149999999999997</v>
      </c>
      <c r="H88">
        <v>45.1</v>
      </c>
      <c r="I88">
        <v>4.4272</v>
      </c>
      <c r="J88">
        <v>3</v>
      </c>
      <c r="K88">
        <v>247</v>
      </c>
      <c r="L88">
        <v>18.5</v>
      </c>
      <c r="M88">
        <v>395.99</v>
      </c>
      <c r="N88">
        <v>12.86</v>
      </c>
    </row>
    <row r="89" spans="1:14" x14ac:dyDescent="0.25">
      <c r="A89">
        <v>22.2</v>
      </c>
      <c r="B89">
        <v>7.1510000000000004E-2</v>
      </c>
      <c r="C89">
        <v>0</v>
      </c>
      <c r="D89">
        <v>4.49</v>
      </c>
      <c r="E89">
        <v>0</v>
      </c>
      <c r="F89">
        <v>0.44900000000000001</v>
      </c>
      <c r="G89">
        <v>6.1210000000000004</v>
      </c>
      <c r="H89">
        <v>56.8</v>
      </c>
      <c r="I89">
        <v>3.7475999999999998</v>
      </c>
      <c r="J89">
        <v>3</v>
      </c>
      <c r="K89">
        <v>247</v>
      </c>
      <c r="L89">
        <v>18.5</v>
      </c>
      <c r="M89">
        <v>395.15</v>
      </c>
      <c r="N89">
        <v>8.44</v>
      </c>
    </row>
    <row r="90" spans="1:14" x14ac:dyDescent="0.25">
      <c r="A90">
        <v>23.6</v>
      </c>
      <c r="B90">
        <v>5.6599999999999998E-2</v>
      </c>
      <c r="C90">
        <v>0</v>
      </c>
      <c r="D90">
        <v>3.41</v>
      </c>
      <c r="E90">
        <v>0</v>
      </c>
      <c r="F90">
        <v>0.48899999999999999</v>
      </c>
      <c r="G90">
        <v>7.0069999999999997</v>
      </c>
      <c r="H90">
        <v>86.3</v>
      </c>
      <c r="I90">
        <v>3.4217</v>
      </c>
      <c r="J90">
        <v>2</v>
      </c>
      <c r="K90">
        <v>270</v>
      </c>
      <c r="L90">
        <v>17.8</v>
      </c>
      <c r="M90">
        <v>396.9</v>
      </c>
      <c r="N90">
        <v>5.5</v>
      </c>
    </row>
    <row r="91" spans="1:14" x14ac:dyDescent="0.25">
      <c r="A91">
        <v>28.7</v>
      </c>
      <c r="B91">
        <v>5.3019999999999998E-2</v>
      </c>
      <c r="C91">
        <v>0</v>
      </c>
      <c r="D91">
        <v>3.41</v>
      </c>
      <c r="E91">
        <v>0</v>
      </c>
      <c r="F91">
        <v>0.48899999999999999</v>
      </c>
      <c r="G91">
        <v>7.0789999999999997</v>
      </c>
      <c r="H91">
        <v>63.1</v>
      </c>
      <c r="I91">
        <v>3.4144999999999999</v>
      </c>
      <c r="J91">
        <v>2</v>
      </c>
      <c r="K91">
        <v>270</v>
      </c>
      <c r="L91">
        <v>17.8</v>
      </c>
      <c r="M91">
        <v>396.06</v>
      </c>
      <c r="N91">
        <v>5.7</v>
      </c>
    </row>
    <row r="92" spans="1:14" x14ac:dyDescent="0.25">
      <c r="A92">
        <v>22.6</v>
      </c>
      <c r="B92">
        <v>4.684E-2</v>
      </c>
      <c r="C92">
        <v>0</v>
      </c>
      <c r="D92">
        <v>3.41</v>
      </c>
      <c r="E92">
        <v>0</v>
      </c>
      <c r="F92">
        <v>0.48899999999999999</v>
      </c>
      <c r="G92">
        <v>6.4169999999999998</v>
      </c>
      <c r="H92">
        <v>66.099999999999994</v>
      </c>
      <c r="I92">
        <v>3.0922999999999998</v>
      </c>
      <c r="J92">
        <v>2</v>
      </c>
      <c r="K92">
        <v>270</v>
      </c>
      <c r="L92">
        <v>17.8</v>
      </c>
      <c r="M92">
        <v>392.18</v>
      </c>
      <c r="N92">
        <v>8.81</v>
      </c>
    </row>
    <row r="93" spans="1:14" x14ac:dyDescent="0.25">
      <c r="A93">
        <v>22</v>
      </c>
      <c r="B93">
        <v>3.9320000000000001E-2</v>
      </c>
      <c r="C93">
        <v>0</v>
      </c>
      <c r="D93">
        <v>3.41</v>
      </c>
      <c r="E93">
        <v>0</v>
      </c>
      <c r="F93">
        <v>0.48899999999999999</v>
      </c>
      <c r="G93">
        <v>6.4050000000000002</v>
      </c>
      <c r="H93">
        <v>73.900000000000006</v>
      </c>
      <c r="I93">
        <v>3.0920999999999998</v>
      </c>
      <c r="J93">
        <v>2</v>
      </c>
      <c r="K93">
        <v>270</v>
      </c>
      <c r="L93">
        <v>17.8</v>
      </c>
      <c r="M93">
        <v>393.55</v>
      </c>
      <c r="N93">
        <v>8.1999999999999993</v>
      </c>
    </row>
    <row r="94" spans="1:14" x14ac:dyDescent="0.25">
      <c r="A94">
        <v>22.9</v>
      </c>
      <c r="B94">
        <v>4.2029999999999998E-2</v>
      </c>
      <c r="C94">
        <v>28</v>
      </c>
      <c r="D94">
        <v>15.04</v>
      </c>
      <c r="E94">
        <v>0</v>
      </c>
      <c r="F94">
        <v>0.46400000000000002</v>
      </c>
      <c r="G94">
        <v>6.4420000000000002</v>
      </c>
      <c r="H94">
        <v>53.6</v>
      </c>
      <c r="I94">
        <v>3.6659000000000002</v>
      </c>
      <c r="J94">
        <v>4</v>
      </c>
      <c r="K94">
        <v>270</v>
      </c>
      <c r="L94">
        <v>18.2</v>
      </c>
      <c r="M94">
        <v>395.01</v>
      </c>
      <c r="N94">
        <v>8.16</v>
      </c>
    </row>
    <row r="95" spans="1:14" x14ac:dyDescent="0.25">
      <c r="A95">
        <v>25</v>
      </c>
      <c r="B95">
        <v>2.8750000000000001E-2</v>
      </c>
      <c r="C95">
        <v>28</v>
      </c>
      <c r="D95">
        <v>15.04</v>
      </c>
      <c r="E95">
        <v>0</v>
      </c>
      <c r="F95">
        <v>0.46400000000000002</v>
      </c>
      <c r="G95">
        <v>6.2110000000000003</v>
      </c>
      <c r="H95">
        <v>28.9</v>
      </c>
      <c r="I95">
        <v>3.6659000000000002</v>
      </c>
      <c r="J95">
        <v>4</v>
      </c>
      <c r="K95">
        <v>270</v>
      </c>
      <c r="L95">
        <v>18.2</v>
      </c>
      <c r="M95">
        <v>396.33</v>
      </c>
      <c r="N95">
        <v>6.21</v>
      </c>
    </row>
    <row r="96" spans="1:14" x14ac:dyDescent="0.25">
      <c r="A96">
        <v>20.6</v>
      </c>
      <c r="B96">
        <v>4.2939999999999999E-2</v>
      </c>
      <c r="C96">
        <v>28</v>
      </c>
      <c r="D96">
        <v>15.04</v>
      </c>
      <c r="E96">
        <v>0</v>
      </c>
      <c r="F96">
        <v>0.46400000000000002</v>
      </c>
      <c r="G96">
        <v>6.2489999999999997</v>
      </c>
      <c r="H96">
        <v>77.3</v>
      </c>
      <c r="I96">
        <v>3.6150000000000002</v>
      </c>
      <c r="J96">
        <v>4</v>
      </c>
      <c r="K96">
        <v>270</v>
      </c>
      <c r="L96">
        <v>18.2</v>
      </c>
      <c r="M96">
        <v>396.9</v>
      </c>
      <c r="N96">
        <v>10.59</v>
      </c>
    </row>
    <row r="97" spans="1:14" x14ac:dyDescent="0.25">
      <c r="A97">
        <v>28.4</v>
      </c>
      <c r="B97">
        <v>0.12204</v>
      </c>
      <c r="C97">
        <v>0</v>
      </c>
      <c r="D97">
        <v>2.89</v>
      </c>
      <c r="E97">
        <v>0</v>
      </c>
      <c r="F97">
        <v>0.44500000000000001</v>
      </c>
      <c r="G97">
        <v>6.625</v>
      </c>
      <c r="H97">
        <v>57.8</v>
      </c>
      <c r="I97">
        <v>3.4952000000000001</v>
      </c>
      <c r="J97">
        <v>2</v>
      </c>
      <c r="K97">
        <v>276</v>
      </c>
      <c r="L97">
        <v>18</v>
      </c>
      <c r="M97">
        <v>357.98</v>
      </c>
      <c r="N97">
        <v>6.65</v>
      </c>
    </row>
    <row r="98" spans="1:14" x14ac:dyDescent="0.25">
      <c r="A98">
        <v>21.4</v>
      </c>
      <c r="B98">
        <v>0.11504</v>
      </c>
      <c r="C98">
        <v>0</v>
      </c>
      <c r="D98">
        <v>2.89</v>
      </c>
      <c r="E98">
        <v>0</v>
      </c>
      <c r="F98">
        <v>0.44500000000000001</v>
      </c>
      <c r="G98">
        <v>6.1630000000000003</v>
      </c>
      <c r="H98">
        <v>69.599999999999994</v>
      </c>
      <c r="I98">
        <v>3.4952000000000001</v>
      </c>
      <c r="J98">
        <v>2</v>
      </c>
      <c r="K98">
        <v>276</v>
      </c>
      <c r="L98">
        <v>18</v>
      </c>
      <c r="M98">
        <v>391.83</v>
      </c>
      <c r="N98">
        <v>11.34</v>
      </c>
    </row>
    <row r="99" spans="1:14" x14ac:dyDescent="0.25">
      <c r="A99">
        <v>38.700000000000003</v>
      </c>
      <c r="B99">
        <v>0.12083000000000001</v>
      </c>
      <c r="C99">
        <v>0</v>
      </c>
      <c r="D99">
        <v>2.89</v>
      </c>
      <c r="E99">
        <v>0</v>
      </c>
      <c r="F99">
        <v>0.44500000000000001</v>
      </c>
      <c r="G99">
        <v>8.0690000000000008</v>
      </c>
      <c r="H99">
        <v>76</v>
      </c>
      <c r="I99">
        <v>3.4952000000000001</v>
      </c>
      <c r="J99">
        <v>2</v>
      </c>
      <c r="K99">
        <v>276</v>
      </c>
      <c r="L99">
        <v>18</v>
      </c>
      <c r="M99">
        <v>396.9</v>
      </c>
      <c r="N99">
        <v>4.21</v>
      </c>
    </row>
    <row r="100" spans="1:14" x14ac:dyDescent="0.25">
      <c r="A100">
        <v>43.8</v>
      </c>
      <c r="B100">
        <v>8.1869999999999998E-2</v>
      </c>
      <c r="C100">
        <v>0</v>
      </c>
      <c r="D100">
        <v>2.89</v>
      </c>
      <c r="E100">
        <v>0</v>
      </c>
      <c r="F100">
        <v>0.44500000000000001</v>
      </c>
      <c r="G100">
        <v>7.82</v>
      </c>
      <c r="H100">
        <v>36.9</v>
      </c>
      <c r="I100">
        <v>3.4952000000000001</v>
      </c>
      <c r="J100">
        <v>2</v>
      </c>
      <c r="K100">
        <v>276</v>
      </c>
      <c r="L100">
        <v>18</v>
      </c>
      <c r="M100">
        <v>393.53</v>
      </c>
      <c r="N100">
        <v>3.57</v>
      </c>
    </row>
    <row r="101" spans="1:14" x14ac:dyDescent="0.25">
      <c r="A101">
        <v>33.200000000000003</v>
      </c>
      <c r="B101">
        <v>6.8599999999999994E-2</v>
      </c>
      <c r="C101">
        <v>0</v>
      </c>
      <c r="D101">
        <v>2.89</v>
      </c>
      <c r="E101">
        <v>0</v>
      </c>
      <c r="F101">
        <v>0.44500000000000001</v>
      </c>
      <c r="G101">
        <v>7.4160000000000004</v>
      </c>
      <c r="H101">
        <v>62.5</v>
      </c>
      <c r="I101">
        <v>3.4952000000000001</v>
      </c>
      <c r="J101">
        <v>2</v>
      </c>
      <c r="K101">
        <v>276</v>
      </c>
      <c r="L101">
        <v>18</v>
      </c>
      <c r="M101">
        <v>396.9</v>
      </c>
      <c r="N101">
        <v>6.19</v>
      </c>
    </row>
    <row r="102" spans="1:14" x14ac:dyDescent="0.25">
      <c r="A102">
        <v>27.5</v>
      </c>
      <c r="B102">
        <v>0.14865999999999999</v>
      </c>
      <c r="C102">
        <v>0</v>
      </c>
      <c r="D102">
        <v>8.56</v>
      </c>
      <c r="E102">
        <v>0</v>
      </c>
      <c r="F102">
        <v>0.52</v>
      </c>
      <c r="G102">
        <v>6.7270000000000003</v>
      </c>
      <c r="H102">
        <v>79.900000000000006</v>
      </c>
      <c r="I102">
        <v>2.7778</v>
      </c>
      <c r="J102">
        <v>5</v>
      </c>
      <c r="K102">
        <v>384</v>
      </c>
      <c r="L102">
        <v>20.9</v>
      </c>
      <c r="M102">
        <v>394.76</v>
      </c>
      <c r="N102">
        <v>9.42</v>
      </c>
    </row>
    <row r="103" spans="1:14" x14ac:dyDescent="0.25">
      <c r="A103">
        <v>26.5</v>
      </c>
      <c r="B103">
        <v>0.11432</v>
      </c>
      <c r="C103">
        <v>0</v>
      </c>
      <c r="D103">
        <v>8.56</v>
      </c>
      <c r="E103">
        <v>0</v>
      </c>
      <c r="F103">
        <v>0.52</v>
      </c>
      <c r="G103">
        <v>6.7809999999999997</v>
      </c>
      <c r="H103">
        <v>71.3</v>
      </c>
      <c r="I103">
        <v>2.8561000000000001</v>
      </c>
      <c r="J103">
        <v>5</v>
      </c>
      <c r="K103">
        <v>384</v>
      </c>
      <c r="L103">
        <v>20.9</v>
      </c>
      <c r="M103">
        <v>395.58</v>
      </c>
      <c r="N103">
        <v>7.67</v>
      </c>
    </row>
    <row r="104" spans="1:14" x14ac:dyDescent="0.25">
      <c r="A104">
        <v>18.600000000000001</v>
      </c>
      <c r="B104">
        <v>0.22875999999999999</v>
      </c>
      <c r="C104">
        <v>0</v>
      </c>
      <c r="D104">
        <v>8.56</v>
      </c>
      <c r="E104">
        <v>0</v>
      </c>
      <c r="F104">
        <v>0.52</v>
      </c>
      <c r="G104">
        <v>6.4050000000000002</v>
      </c>
      <c r="H104">
        <v>85.4</v>
      </c>
      <c r="I104">
        <v>2.7147000000000001</v>
      </c>
      <c r="J104">
        <v>5</v>
      </c>
      <c r="K104">
        <v>384</v>
      </c>
      <c r="L104">
        <v>20.9</v>
      </c>
      <c r="M104">
        <v>70.8</v>
      </c>
      <c r="N104">
        <v>10.63</v>
      </c>
    </row>
    <row r="105" spans="1:14" x14ac:dyDescent="0.25">
      <c r="A105">
        <v>19.3</v>
      </c>
      <c r="B105">
        <v>0.21160999999999999</v>
      </c>
      <c r="C105">
        <v>0</v>
      </c>
      <c r="D105">
        <v>8.56</v>
      </c>
      <c r="E105">
        <v>0</v>
      </c>
      <c r="F105">
        <v>0.52</v>
      </c>
      <c r="G105">
        <v>6.1369999999999996</v>
      </c>
      <c r="H105">
        <v>87.4</v>
      </c>
      <c r="I105">
        <v>2.7147000000000001</v>
      </c>
      <c r="J105">
        <v>5</v>
      </c>
      <c r="K105">
        <v>384</v>
      </c>
      <c r="L105">
        <v>20.9</v>
      </c>
      <c r="M105">
        <v>394.47</v>
      </c>
      <c r="N105">
        <v>13.44</v>
      </c>
    </row>
    <row r="106" spans="1:14" x14ac:dyDescent="0.25">
      <c r="A106">
        <v>20.100000000000001</v>
      </c>
      <c r="B106">
        <v>0.1396</v>
      </c>
      <c r="C106">
        <v>0</v>
      </c>
      <c r="D106">
        <v>8.56</v>
      </c>
      <c r="E106">
        <v>0</v>
      </c>
      <c r="F106">
        <v>0.52</v>
      </c>
      <c r="G106">
        <v>6.1669999999999998</v>
      </c>
      <c r="H106">
        <v>90</v>
      </c>
      <c r="I106">
        <v>2.4209999999999998</v>
      </c>
      <c r="J106">
        <v>5</v>
      </c>
      <c r="K106">
        <v>384</v>
      </c>
      <c r="L106">
        <v>20.9</v>
      </c>
      <c r="M106">
        <v>392.69</v>
      </c>
      <c r="N106">
        <v>12.33</v>
      </c>
    </row>
    <row r="107" spans="1:14" x14ac:dyDescent="0.25">
      <c r="A107">
        <v>19.5</v>
      </c>
      <c r="B107">
        <v>0.13261999999999999</v>
      </c>
      <c r="C107">
        <v>0</v>
      </c>
      <c r="D107">
        <v>8.56</v>
      </c>
      <c r="E107">
        <v>0</v>
      </c>
      <c r="F107">
        <v>0.52</v>
      </c>
      <c r="G107">
        <v>5.851</v>
      </c>
      <c r="H107">
        <v>96.7</v>
      </c>
      <c r="I107">
        <v>2.1069</v>
      </c>
      <c r="J107">
        <v>5</v>
      </c>
      <c r="K107">
        <v>384</v>
      </c>
      <c r="L107">
        <v>20.9</v>
      </c>
      <c r="M107">
        <v>394.05</v>
      </c>
      <c r="N107">
        <v>16.47</v>
      </c>
    </row>
    <row r="108" spans="1:14" x14ac:dyDescent="0.25">
      <c r="A108">
        <v>19.5</v>
      </c>
      <c r="B108">
        <v>0.17119999999999999</v>
      </c>
      <c r="C108">
        <v>0</v>
      </c>
      <c r="D108">
        <v>8.56</v>
      </c>
      <c r="E108">
        <v>0</v>
      </c>
      <c r="F108">
        <v>0.52</v>
      </c>
      <c r="G108">
        <v>5.8360000000000003</v>
      </c>
      <c r="H108">
        <v>91.9</v>
      </c>
      <c r="I108">
        <v>2.2109999999999999</v>
      </c>
      <c r="J108">
        <v>5</v>
      </c>
      <c r="K108">
        <v>384</v>
      </c>
      <c r="L108">
        <v>20.9</v>
      </c>
      <c r="M108">
        <v>395.67</v>
      </c>
      <c r="N108">
        <v>18.66</v>
      </c>
    </row>
    <row r="109" spans="1:14" x14ac:dyDescent="0.25">
      <c r="A109">
        <v>20.399999999999999</v>
      </c>
      <c r="B109">
        <v>0.13117000000000001</v>
      </c>
      <c r="C109">
        <v>0</v>
      </c>
      <c r="D109">
        <v>8.56</v>
      </c>
      <c r="E109">
        <v>0</v>
      </c>
      <c r="F109">
        <v>0.52</v>
      </c>
      <c r="G109">
        <v>6.1269999999999998</v>
      </c>
      <c r="H109">
        <v>85.2</v>
      </c>
      <c r="I109">
        <v>2.1223999999999998</v>
      </c>
      <c r="J109">
        <v>5</v>
      </c>
      <c r="K109">
        <v>384</v>
      </c>
      <c r="L109">
        <v>20.9</v>
      </c>
      <c r="M109">
        <v>387.69</v>
      </c>
      <c r="N109">
        <v>14.09</v>
      </c>
    </row>
    <row r="110" spans="1:14" x14ac:dyDescent="0.25">
      <c r="A110">
        <v>19.8</v>
      </c>
      <c r="B110">
        <v>0.12801999999999999</v>
      </c>
      <c r="C110">
        <v>0</v>
      </c>
      <c r="D110">
        <v>8.56</v>
      </c>
      <c r="E110">
        <v>0</v>
      </c>
      <c r="F110">
        <v>0.52</v>
      </c>
      <c r="G110">
        <v>6.4740000000000002</v>
      </c>
      <c r="H110">
        <v>97.1</v>
      </c>
      <c r="I110">
        <v>2.4329000000000001</v>
      </c>
      <c r="J110">
        <v>5</v>
      </c>
      <c r="K110">
        <v>384</v>
      </c>
      <c r="L110">
        <v>20.9</v>
      </c>
      <c r="M110">
        <v>395.24</v>
      </c>
      <c r="N110">
        <v>12.27</v>
      </c>
    </row>
    <row r="111" spans="1:14" x14ac:dyDescent="0.25">
      <c r="A111">
        <v>19.399999999999999</v>
      </c>
      <c r="B111">
        <v>0.26362999999999998</v>
      </c>
      <c r="C111">
        <v>0</v>
      </c>
      <c r="D111">
        <v>8.56</v>
      </c>
      <c r="E111">
        <v>0</v>
      </c>
      <c r="F111">
        <v>0.52</v>
      </c>
      <c r="G111">
        <v>6.2290000000000001</v>
      </c>
      <c r="H111">
        <v>91.2</v>
      </c>
      <c r="I111">
        <v>2.5451000000000001</v>
      </c>
      <c r="J111">
        <v>5</v>
      </c>
      <c r="K111">
        <v>384</v>
      </c>
      <c r="L111">
        <v>20.9</v>
      </c>
      <c r="M111">
        <v>391.23</v>
      </c>
      <c r="N111">
        <v>15.55</v>
      </c>
    </row>
    <row r="112" spans="1:14" x14ac:dyDescent="0.25">
      <c r="A112">
        <v>21.7</v>
      </c>
      <c r="B112">
        <v>0.10793</v>
      </c>
      <c r="C112">
        <v>0</v>
      </c>
      <c r="D112">
        <v>8.56</v>
      </c>
      <c r="E112">
        <v>0</v>
      </c>
      <c r="F112">
        <v>0.52</v>
      </c>
      <c r="G112">
        <v>6.1950000000000003</v>
      </c>
      <c r="H112">
        <v>54.4</v>
      </c>
      <c r="I112">
        <v>2.7778</v>
      </c>
      <c r="J112">
        <v>5</v>
      </c>
      <c r="K112">
        <v>384</v>
      </c>
      <c r="L112">
        <v>20.9</v>
      </c>
      <c r="M112">
        <v>393.49</v>
      </c>
      <c r="N112">
        <v>13</v>
      </c>
    </row>
    <row r="113" spans="1:14" x14ac:dyDescent="0.25">
      <c r="A113">
        <v>22.8</v>
      </c>
      <c r="B113">
        <v>0.10084</v>
      </c>
      <c r="C113">
        <v>0</v>
      </c>
      <c r="D113">
        <v>10.01</v>
      </c>
      <c r="E113">
        <v>0</v>
      </c>
      <c r="F113">
        <v>0.54700000000000004</v>
      </c>
      <c r="G113">
        <v>6.7149999999999999</v>
      </c>
      <c r="H113">
        <v>81.599999999999994</v>
      </c>
      <c r="I113">
        <v>2.6775000000000002</v>
      </c>
      <c r="J113">
        <v>6</v>
      </c>
      <c r="K113">
        <v>432</v>
      </c>
      <c r="L113">
        <v>17.8</v>
      </c>
      <c r="M113">
        <v>395.59</v>
      </c>
      <c r="N113">
        <v>10.16</v>
      </c>
    </row>
    <row r="114" spans="1:14" x14ac:dyDescent="0.25">
      <c r="A114">
        <v>18.8</v>
      </c>
      <c r="B114">
        <v>0.12329</v>
      </c>
      <c r="C114">
        <v>0</v>
      </c>
      <c r="D114">
        <v>10.01</v>
      </c>
      <c r="E114">
        <v>0</v>
      </c>
      <c r="F114">
        <v>0.54700000000000004</v>
      </c>
      <c r="G114">
        <v>5.9130000000000003</v>
      </c>
      <c r="H114">
        <v>92.9</v>
      </c>
      <c r="I114">
        <v>2.3534000000000002</v>
      </c>
      <c r="J114">
        <v>6</v>
      </c>
      <c r="K114">
        <v>432</v>
      </c>
      <c r="L114">
        <v>17.8</v>
      </c>
      <c r="M114">
        <v>394.95</v>
      </c>
      <c r="N114">
        <v>16.21</v>
      </c>
    </row>
    <row r="115" spans="1:14" x14ac:dyDescent="0.25">
      <c r="A115">
        <v>18.7</v>
      </c>
      <c r="B115">
        <v>0.22212000000000001</v>
      </c>
      <c r="C115">
        <v>0</v>
      </c>
      <c r="D115">
        <v>10.01</v>
      </c>
      <c r="E115">
        <v>0</v>
      </c>
      <c r="F115">
        <v>0.54700000000000004</v>
      </c>
      <c r="G115">
        <v>6.0919999999999996</v>
      </c>
      <c r="H115">
        <v>95.4</v>
      </c>
      <c r="I115">
        <v>2.548</v>
      </c>
      <c r="J115">
        <v>6</v>
      </c>
      <c r="K115">
        <v>432</v>
      </c>
      <c r="L115">
        <v>17.8</v>
      </c>
      <c r="M115">
        <v>396.9</v>
      </c>
      <c r="N115">
        <v>17.09</v>
      </c>
    </row>
    <row r="116" spans="1:14" x14ac:dyDescent="0.25">
      <c r="A116">
        <v>18.5</v>
      </c>
      <c r="B116">
        <v>0.14230999999999999</v>
      </c>
      <c r="C116">
        <v>0</v>
      </c>
      <c r="D116">
        <v>10.01</v>
      </c>
      <c r="E116">
        <v>0</v>
      </c>
      <c r="F116">
        <v>0.54700000000000004</v>
      </c>
      <c r="G116">
        <v>6.2539999999999996</v>
      </c>
      <c r="H116">
        <v>84.2</v>
      </c>
      <c r="I116">
        <v>2.2565</v>
      </c>
      <c r="J116">
        <v>6</v>
      </c>
      <c r="K116">
        <v>432</v>
      </c>
      <c r="L116">
        <v>17.8</v>
      </c>
      <c r="M116">
        <v>388.74</v>
      </c>
      <c r="N116">
        <v>10.45</v>
      </c>
    </row>
    <row r="117" spans="1:14" x14ac:dyDescent="0.25">
      <c r="A117">
        <v>18.3</v>
      </c>
      <c r="B117">
        <v>0.17133999999999999</v>
      </c>
      <c r="C117">
        <v>0</v>
      </c>
      <c r="D117">
        <v>10.01</v>
      </c>
      <c r="E117">
        <v>0</v>
      </c>
      <c r="F117">
        <v>0.54700000000000004</v>
      </c>
      <c r="G117">
        <v>5.9279999999999999</v>
      </c>
      <c r="H117">
        <v>88.2</v>
      </c>
      <c r="I117">
        <v>2.4630999999999998</v>
      </c>
      <c r="J117">
        <v>6</v>
      </c>
      <c r="K117">
        <v>432</v>
      </c>
      <c r="L117">
        <v>17.8</v>
      </c>
      <c r="M117">
        <v>344.91</v>
      </c>
      <c r="N117">
        <v>15.76</v>
      </c>
    </row>
    <row r="118" spans="1:14" x14ac:dyDescent="0.25">
      <c r="A118">
        <v>21.2</v>
      </c>
      <c r="B118">
        <v>0.13158</v>
      </c>
      <c r="C118">
        <v>0</v>
      </c>
      <c r="D118">
        <v>10.01</v>
      </c>
      <c r="E118">
        <v>0</v>
      </c>
      <c r="F118">
        <v>0.54700000000000004</v>
      </c>
      <c r="G118">
        <v>6.1760000000000002</v>
      </c>
      <c r="H118">
        <v>72.5</v>
      </c>
      <c r="I118">
        <v>2.7301000000000002</v>
      </c>
      <c r="J118">
        <v>6</v>
      </c>
      <c r="K118">
        <v>432</v>
      </c>
      <c r="L118">
        <v>17.8</v>
      </c>
      <c r="M118">
        <v>393.3</v>
      </c>
      <c r="N118">
        <v>12.04</v>
      </c>
    </row>
    <row r="119" spans="1:14" x14ac:dyDescent="0.25">
      <c r="A119">
        <v>19.2</v>
      </c>
      <c r="B119">
        <v>0.15098</v>
      </c>
      <c r="C119">
        <v>0</v>
      </c>
      <c r="D119">
        <v>10.01</v>
      </c>
      <c r="E119">
        <v>0</v>
      </c>
      <c r="F119">
        <v>0.54700000000000004</v>
      </c>
      <c r="G119">
        <v>6.0209999999999999</v>
      </c>
      <c r="H119">
        <v>82.6</v>
      </c>
      <c r="I119">
        <v>2.7473999999999998</v>
      </c>
      <c r="J119">
        <v>6</v>
      </c>
      <c r="K119">
        <v>432</v>
      </c>
      <c r="L119">
        <v>17.8</v>
      </c>
      <c r="M119">
        <v>394.51</v>
      </c>
      <c r="N119">
        <v>10.3</v>
      </c>
    </row>
    <row r="120" spans="1:14" x14ac:dyDescent="0.25">
      <c r="A120">
        <v>20.399999999999999</v>
      </c>
      <c r="B120">
        <v>0.13058</v>
      </c>
      <c r="C120">
        <v>0</v>
      </c>
      <c r="D120">
        <v>10.01</v>
      </c>
      <c r="E120">
        <v>0</v>
      </c>
      <c r="F120">
        <v>0.54700000000000004</v>
      </c>
      <c r="G120">
        <v>5.8719999999999999</v>
      </c>
      <c r="H120">
        <v>73.099999999999994</v>
      </c>
      <c r="I120">
        <v>2.4775</v>
      </c>
      <c r="J120">
        <v>6</v>
      </c>
      <c r="K120">
        <v>432</v>
      </c>
      <c r="L120">
        <v>17.8</v>
      </c>
      <c r="M120">
        <v>338.63</v>
      </c>
      <c r="N120">
        <v>15.37</v>
      </c>
    </row>
    <row r="121" spans="1:14" x14ac:dyDescent="0.25">
      <c r="A121">
        <v>19.3</v>
      </c>
      <c r="B121">
        <v>0.14476</v>
      </c>
      <c r="C121">
        <v>0</v>
      </c>
      <c r="D121">
        <v>10.01</v>
      </c>
      <c r="E121">
        <v>0</v>
      </c>
      <c r="F121">
        <v>0.54700000000000004</v>
      </c>
      <c r="G121">
        <v>5.7309999999999999</v>
      </c>
      <c r="H121">
        <v>65.2</v>
      </c>
      <c r="I121">
        <v>2.7591999999999999</v>
      </c>
      <c r="J121">
        <v>6</v>
      </c>
      <c r="K121">
        <v>432</v>
      </c>
      <c r="L121">
        <v>17.8</v>
      </c>
      <c r="M121">
        <v>391.5</v>
      </c>
      <c r="N121">
        <v>13.61</v>
      </c>
    </row>
    <row r="122" spans="1:14" x14ac:dyDescent="0.25">
      <c r="A122">
        <v>22</v>
      </c>
      <c r="B122">
        <v>6.8989999999999996E-2</v>
      </c>
      <c r="C122">
        <v>0</v>
      </c>
      <c r="D122">
        <v>25.65</v>
      </c>
      <c r="E122">
        <v>0</v>
      </c>
      <c r="F122">
        <v>0.58099999999999996</v>
      </c>
      <c r="G122">
        <v>5.87</v>
      </c>
      <c r="H122">
        <v>69.7</v>
      </c>
      <c r="I122">
        <v>2.2576999999999998</v>
      </c>
      <c r="J122">
        <v>2</v>
      </c>
      <c r="K122">
        <v>188</v>
      </c>
      <c r="L122">
        <v>19.100000000000001</v>
      </c>
      <c r="M122">
        <v>389.15</v>
      </c>
      <c r="N122">
        <v>14.37</v>
      </c>
    </row>
    <row r="123" spans="1:14" x14ac:dyDescent="0.25">
      <c r="A123">
        <v>20.3</v>
      </c>
      <c r="B123">
        <v>7.1650000000000005E-2</v>
      </c>
      <c r="C123">
        <v>0</v>
      </c>
      <c r="D123">
        <v>25.65</v>
      </c>
      <c r="E123">
        <v>0</v>
      </c>
      <c r="F123">
        <v>0.58099999999999996</v>
      </c>
      <c r="G123">
        <v>6.0039999999999996</v>
      </c>
      <c r="H123">
        <v>84.1</v>
      </c>
      <c r="I123">
        <v>2.1974</v>
      </c>
      <c r="J123">
        <v>2</v>
      </c>
      <c r="K123">
        <v>188</v>
      </c>
      <c r="L123">
        <v>19.100000000000001</v>
      </c>
      <c r="M123">
        <v>377.67</v>
      </c>
      <c r="N123">
        <v>14.27</v>
      </c>
    </row>
    <row r="124" spans="1:14" x14ac:dyDescent="0.25">
      <c r="A124">
        <v>20.5</v>
      </c>
      <c r="B124">
        <v>9.2990000000000003E-2</v>
      </c>
      <c r="C124">
        <v>0</v>
      </c>
      <c r="D124">
        <v>25.65</v>
      </c>
      <c r="E124">
        <v>0</v>
      </c>
      <c r="F124">
        <v>0.58099999999999996</v>
      </c>
      <c r="G124">
        <v>5.9610000000000003</v>
      </c>
      <c r="H124">
        <v>92.9</v>
      </c>
      <c r="I124">
        <v>2.0869</v>
      </c>
      <c r="J124">
        <v>2</v>
      </c>
      <c r="K124">
        <v>188</v>
      </c>
      <c r="L124">
        <v>19.100000000000001</v>
      </c>
      <c r="M124">
        <v>378.09</v>
      </c>
      <c r="N124">
        <v>17.93</v>
      </c>
    </row>
    <row r="125" spans="1:14" x14ac:dyDescent="0.25">
      <c r="A125">
        <v>17.3</v>
      </c>
      <c r="B125">
        <v>0.15038000000000001</v>
      </c>
      <c r="C125">
        <v>0</v>
      </c>
      <c r="D125">
        <v>25.65</v>
      </c>
      <c r="E125">
        <v>0</v>
      </c>
      <c r="F125">
        <v>0.58099999999999996</v>
      </c>
      <c r="G125">
        <v>5.8559999999999999</v>
      </c>
      <c r="H125">
        <v>97</v>
      </c>
      <c r="I125">
        <v>1.9443999999999999</v>
      </c>
      <c r="J125">
        <v>2</v>
      </c>
      <c r="K125">
        <v>188</v>
      </c>
      <c r="L125">
        <v>19.100000000000001</v>
      </c>
      <c r="M125">
        <v>370.31</v>
      </c>
      <c r="N125">
        <v>25.41</v>
      </c>
    </row>
    <row r="126" spans="1:14" x14ac:dyDescent="0.25">
      <c r="A126">
        <v>18.8</v>
      </c>
      <c r="B126">
        <v>9.8489999999999994E-2</v>
      </c>
      <c r="C126">
        <v>0</v>
      </c>
      <c r="D126">
        <v>25.65</v>
      </c>
      <c r="E126">
        <v>0</v>
      </c>
      <c r="F126">
        <v>0.58099999999999996</v>
      </c>
      <c r="G126">
        <v>5.8789999999999996</v>
      </c>
      <c r="H126">
        <v>95.8</v>
      </c>
      <c r="I126">
        <v>2.0063</v>
      </c>
      <c r="J126">
        <v>2</v>
      </c>
      <c r="K126">
        <v>188</v>
      </c>
      <c r="L126">
        <v>19.100000000000001</v>
      </c>
      <c r="M126">
        <v>379.38</v>
      </c>
      <c r="N126">
        <v>17.579999999999998</v>
      </c>
    </row>
    <row r="127" spans="1:14" x14ac:dyDescent="0.25">
      <c r="A127">
        <v>21.4</v>
      </c>
      <c r="B127">
        <v>0.16902</v>
      </c>
      <c r="C127">
        <v>0</v>
      </c>
      <c r="D127">
        <v>25.65</v>
      </c>
      <c r="E127">
        <v>0</v>
      </c>
      <c r="F127">
        <v>0.58099999999999996</v>
      </c>
      <c r="G127">
        <v>5.9859999999999998</v>
      </c>
      <c r="H127">
        <v>88.4</v>
      </c>
      <c r="I127">
        <v>1.9928999999999999</v>
      </c>
      <c r="J127">
        <v>2</v>
      </c>
      <c r="K127">
        <v>188</v>
      </c>
      <c r="L127">
        <v>19.100000000000001</v>
      </c>
      <c r="M127">
        <v>385.02</v>
      </c>
      <c r="N127">
        <v>14.81</v>
      </c>
    </row>
    <row r="128" spans="1:14" x14ac:dyDescent="0.25">
      <c r="A128">
        <v>15.7</v>
      </c>
      <c r="B128">
        <v>0.38735000000000003</v>
      </c>
      <c r="C128">
        <v>0</v>
      </c>
      <c r="D128">
        <v>25.65</v>
      </c>
      <c r="E128">
        <v>0</v>
      </c>
      <c r="F128">
        <v>0.58099999999999996</v>
      </c>
      <c r="G128">
        <v>5.6130000000000004</v>
      </c>
      <c r="H128">
        <v>95.6</v>
      </c>
      <c r="I128">
        <v>1.7572000000000001</v>
      </c>
      <c r="J128">
        <v>2</v>
      </c>
      <c r="K128">
        <v>188</v>
      </c>
      <c r="L128">
        <v>19.100000000000001</v>
      </c>
      <c r="M128">
        <v>359.29</v>
      </c>
      <c r="N128">
        <v>27.26</v>
      </c>
    </row>
    <row r="129" spans="1:14" x14ac:dyDescent="0.25">
      <c r="A129">
        <v>16.2</v>
      </c>
      <c r="B129">
        <v>0.25914999999999999</v>
      </c>
      <c r="C129">
        <v>0</v>
      </c>
      <c r="D129">
        <v>21.89</v>
      </c>
      <c r="E129">
        <v>0</v>
      </c>
      <c r="F129">
        <v>0.624</v>
      </c>
      <c r="G129">
        <v>5.6929999999999996</v>
      </c>
      <c r="H129">
        <v>96</v>
      </c>
      <c r="I129">
        <v>1.7883</v>
      </c>
      <c r="J129">
        <v>4</v>
      </c>
      <c r="K129">
        <v>437</v>
      </c>
      <c r="L129">
        <v>21.2</v>
      </c>
      <c r="M129">
        <v>392.11</v>
      </c>
      <c r="N129">
        <v>17.190000000000001</v>
      </c>
    </row>
    <row r="130" spans="1:14" x14ac:dyDescent="0.25">
      <c r="A130">
        <v>18</v>
      </c>
      <c r="B130">
        <v>0.32543</v>
      </c>
      <c r="C130">
        <v>0</v>
      </c>
      <c r="D130">
        <v>21.89</v>
      </c>
      <c r="E130">
        <v>0</v>
      </c>
      <c r="F130">
        <v>0.624</v>
      </c>
      <c r="G130">
        <v>6.431</v>
      </c>
      <c r="H130">
        <v>98.8</v>
      </c>
      <c r="I130">
        <v>1.8125</v>
      </c>
      <c r="J130">
        <v>4</v>
      </c>
      <c r="K130">
        <v>437</v>
      </c>
      <c r="L130">
        <v>21.2</v>
      </c>
      <c r="M130">
        <v>396.9</v>
      </c>
      <c r="N130">
        <v>15.39</v>
      </c>
    </row>
    <row r="131" spans="1:14" x14ac:dyDescent="0.25">
      <c r="A131">
        <v>14.3</v>
      </c>
      <c r="B131">
        <v>0.88124999999999998</v>
      </c>
      <c r="C131">
        <v>0</v>
      </c>
      <c r="D131">
        <v>21.89</v>
      </c>
      <c r="E131">
        <v>0</v>
      </c>
      <c r="F131">
        <v>0.624</v>
      </c>
      <c r="G131">
        <v>5.6369999999999996</v>
      </c>
      <c r="H131">
        <v>94.7</v>
      </c>
      <c r="I131">
        <v>1.9799</v>
      </c>
      <c r="J131">
        <v>4</v>
      </c>
      <c r="K131">
        <v>437</v>
      </c>
      <c r="L131">
        <v>21.2</v>
      </c>
      <c r="M131">
        <v>396.9</v>
      </c>
      <c r="N131">
        <v>18.34</v>
      </c>
    </row>
    <row r="132" spans="1:14" x14ac:dyDescent="0.25">
      <c r="A132">
        <v>19.2</v>
      </c>
      <c r="B132">
        <v>0.34005999999999997</v>
      </c>
      <c r="C132">
        <v>0</v>
      </c>
      <c r="D132">
        <v>21.89</v>
      </c>
      <c r="E132">
        <v>0</v>
      </c>
      <c r="F132">
        <v>0.624</v>
      </c>
      <c r="G132">
        <v>6.4580000000000002</v>
      </c>
      <c r="H132">
        <v>98.9</v>
      </c>
      <c r="I132">
        <v>2.1185</v>
      </c>
      <c r="J132">
        <v>4</v>
      </c>
      <c r="K132">
        <v>437</v>
      </c>
      <c r="L132">
        <v>21.2</v>
      </c>
      <c r="M132">
        <v>395.04</v>
      </c>
      <c r="N132">
        <v>12.6</v>
      </c>
    </row>
    <row r="133" spans="1:14" x14ac:dyDescent="0.25">
      <c r="A133">
        <v>19.600000000000001</v>
      </c>
      <c r="B133">
        <v>1.1929399999999999</v>
      </c>
      <c r="C133">
        <v>0</v>
      </c>
      <c r="D133">
        <v>21.89</v>
      </c>
      <c r="E133">
        <v>0</v>
      </c>
      <c r="F133">
        <v>0.624</v>
      </c>
      <c r="G133">
        <v>6.3259999999999996</v>
      </c>
      <c r="H133">
        <v>97.7</v>
      </c>
      <c r="I133">
        <v>2.2709999999999999</v>
      </c>
      <c r="J133">
        <v>4</v>
      </c>
      <c r="K133">
        <v>437</v>
      </c>
      <c r="L133">
        <v>21.2</v>
      </c>
      <c r="M133">
        <v>396.9</v>
      </c>
      <c r="N133">
        <v>12.26</v>
      </c>
    </row>
    <row r="134" spans="1:14" x14ac:dyDescent="0.25">
      <c r="A134">
        <v>23</v>
      </c>
      <c r="B134">
        <v>0.59004999999999996</v>
      </c>
      <c r="C134">
        <v>0</v>
      </c>
      <c r="D134">
        <v>21.89</v>
      </c>
      <c r="E134">
        <v>0</v>
      </c>
      <c r="F134">
        <v>0.624</v>
      </c>
      <c r="G134">
        <v>6.3719999999999999</v>
      </c>
      <c r="H134">
        <v>97.9</v>
      </c>
      <c r="I134">
        <v>2.3273999999999999</v>
      </c>
      <c r="J134">
        <v>4</v>
      </c>
      <c r="K134">
        <v>437</v>
      </c>
      <c r="L134">
        <v>21.2</v>
      </c>
      <c r="M134">
        <v>385.76</v>
      </c>
      <c r="N134">
        <v>11.12</v>
      </c>
    </row>
    <row r="135" spans="1:14" x14ac:dyDescent="0.25">
      <c r="A135">
        <v>18.399999999999999</v>
      </c>
      <c r="B135">
        <v>0.32982</v>
      </c>
      <c r="C135">
        <v>0</v>
      </c>
      <c r="D135">
        <v>21.89</v>
      </c>
      <c r="E135">
        <v>0</v>
      </c>
      <c r="F135">
        <v>0.624</v>
      </c>
      <c r="G135">
        <v>5.8220000000000001</v>
      </c>
      <c r="H135">
        <v>95.4</v>
      </c>
      <c r="I135">
        <v>2.4699</v>
      </c>
      <c r="J135">
        <v>4</v>
      </c>
      <c r="K135">
        <v>437</v>
      </c>
      <c r="L135">
        <v>21.2</v>
      </c>
      <c r="M135">
        <v>388.69</v>
      </c>
      <c r="N135">
        <v>15.03</v>
      </c>
    </row>
    <row r="136" spans="1:14" x14ac:dyDescent="0.25">
      <c r="A136">
        <v>15.6</v>
      </c>
      <c r="B136">
        <v>0.97616999999999998</v>
      </c>
      <c r="C136">
        <v>0</v>
      </c>
      <c r="D136">
        <v>21.89</v>
      </c>
      <c r="E136">
        <v>0</v>
      </c>
      <c r="F136">
        <v>0.624</v>
      </c>
      <c r="G136">
        <v>5.7569999999999997</v>
      </c>
      <c r="H136">
        <v>98.4</v>
      </c>
      <c r="I136">
        <v>2.3460000000000001</v>
      </c>
      <c r="J136">
        <v>4</v>
      </c>
      <c r="K136">
        <v>437</v>
      </c>
      <c r="L136">
        <v>21.2</v>
      </c>
      <c r="M136">
        <v>262.76</v>
      </c>
      <c r="N136">
        <v>17.309999999999999</v>
      </c>
    </row>
    <row r="137" spans="1:14" x14ac:dyDescent="0.25">
      <c r="A137">
        <v>18.100000000000001</v>
      </c>
      <c r="B137">
        <v>0.55778000000000005</v>
      </c>
      <c r="C137">
        <v>0</v>
      </c>
      <c r="D137">
        <v>21.89</v>
      </c>
      <c r="E137">
        <v>0</v>
      </c>
      <c r="F137">
        <v>0.624</v>
      </c>
      <c r="G137">
        <v>6.335</v>
      </c>
      <c r="H137">
        <v>98.2</v>
      </c>
      <c r="I137">
        <v>2.1107</v>
      </c>
      <c r="J137">
        <v>4</v>
      </c>
      <c r="K137">
        <v>437</v>
      </c>
      <c r="L137">
        <v>21.2</v>
      </c>
      <c r="M137">
        <v>394.67</v>
      </c>
      <c r="N137">
        <v>16.96</v>
      </c>
    </row>
    <row r="138" spans="1:14" x14ac:dyDescent="0.25">
      <c r="A138">
        <v>17.399999999999999</v>
      </c>
      <c r="B138">
        <v>0.32263999999999998</v>
      </c>
      <c r="C138">
        <v>0</v>
      </c>
      <c r="D138">
        <v>21.89</v>
      </c>
      <c r="E138">
        <v>0</v>
      </c>
      <c r="F138">
        <v>0.624</v>
      </c>
      <c r="G138">
        <v>5.9420000000000002</v>
      </c>
      <c r="H138">
        <v>93.5</v>
      </c>
      <c r="I138">
        <v>1.9669000000000001</v>
      </c>
      <c r="J138">
        <v>4</v>
      </c>
      <c r="K138">
        <v>437</v>
      </c>
      <c r="L138">
        <v>21.2</v>
      </c>
      <c r="M138">
        <v>378.25</v>
      </c>
      <c r="N138">
        <v>16.899999999999999</v>
      </c>
    </row>
    <row r="139" spans="1:14" x14ac:dyDescent="0.25">
      <c r="A139">
        <v>17.100000000000001</v>
      </c>
      <c r="B139">
        <v>0.35232999999999998</v>
      </c>
      <c r="C139">
        <v>0</v>
      </c>
      <c r="D139">
        <v>21.89</v>
      </c>
      <c r="E139">
        <v>0</v>
      </c>
      <c r="F139">
        <v>0.624</v>
      </c>
      <c r="G139">
        <v>6.4539999999999997</v>
      </c>
      <c r="H139">
        <v>98.4</v>
      </c>
      <c r="I139">
        <v>1.8498000000000001</v>
      </c>
      <c r="J139">
        <v>4</v>
      </c>
      <c r="K139">
        <v>437</v>
      </c>
      <c r="L139">
        <v>21.2</v>
      </c>
      <c r="M139">
        <v>394.08</v>
      </c>
      <c r="N139">
        <v>14.59</v>
      </c>
    </row>
    <row r="140" spans="1:14" x14ac:dyDescent="0.25">
      <c r="A140">
        <v>13.3</v>
      </c>
      <c r="B140">
        <v>0.24979999999999999</v>
      </c>
      <c r="C140">
        <v>0</v>
      </c>
      <c r="D140">
        <v>21.89</v>
      </c>
      <c r="E140">
        <v>0</v>
      </c>
      <c r="F140">
        <v>0.624</v>
      </c>
      <c r="G140">
        <v>5.8570000000000002</v>
      </c>
      <c r="H140">
        <v>98.2</v>
      </c>
      <c r="I140">
        <v>1.6686000000000001</v>
      </c>
      <c r="J140">
        <v>4</v>
      </c>
      <c r="K140">
        <v>437</v>
      </c>
      <c r="L140">
        <v>21.2</v>
      </c>
      <c r="M140">
        <v>392.04</v>
      </c>
      <c r="N140">
        <v>21.32</v>
      </c>
    </row>
    <row r="141" spans="1:14" x14ac:dyDescent="0.25">
      <c r="A141">
        <v>17.8</v>
      </c>
      <c r="B141">
        <v>0.54452</v>
      </c>
      <c r="C141">
        <v>0</v>
      </c>
      <c r="D141">
        <v>21.89</v>
      </c>
      <c r="E141">
        <v>0</v>
      </c>
      <c r="F141">
        <v>0.624</v>
      </c>
      <c r="G141">
        <v>6.1509999999999998</v>
      </c>
      <c r="H141">
        <v>97.9</v>
      </c>
      <c r="I141">
        <v>1.6687000000000001</v>
      </c>
      <c r="J141">
        <v>4</v>
      </c>
      <c r="K141">
        <v>437</v>
      </c>
      <c r="L141">
        <v>21.2</v>
      </c>
      <c r="M141">
        <v>396.9</v>
      </c>
      <c r="N141">
        <v>18.46</v>
      </c>
    </row>
    <row r="142" spans="1:14" x14ac:dyDescent="0.25">
      <c r="A142">
        <v>14</v>
      </c>
      <c r="B142">
        <v>0.29089999999999999</v>
      </c>
      <c r="C142">
        <v>0</v>
      </c>
      <c r="D142">
        <v>21.89</v>
      </c>
      <c r="E142">
        <v>0</v>
      </c>
      <c r="F142">
        <v>0.624</v>
      </c>
      <c r="G142">
        <v>6.1740000000000004</v>
      </c>
      <c r="H142">
        <v>93.6</v>
      </c>
      <c r="I142">
        <v>1.6119000000000001</v>
      </c>
      <c r="J142">
        <v>4</v>
      </c>
      <c r="K142">
        <v>437</v>
      </c>
      <c r="L142">
        <v>21.2</v>
      </c>
      <c r="M142">
        <v>388.08</v>
      </c>
      <c r="N142">
        <v>24.16</v>
      </c>
    </row>
    <row r="143" spans="1:14" x14ac:dyDescent="0.25">
      <c r="A143">
        <v>14.4</v>
      </c>
      <c r="B143">
        <v>1.6286400000000001</v>
      </c>
      <c r="C143">
        <v>0</v>
      </c>
      <c r="D143">
        <v>21.89</v>
      </c>
      <c r="E143">
        <v>0</v>
      </c>
      <c r="F143">
        <v>0.624</v>
      </c>
      <c r="G143">
        <v>5.0190000000000001</v>
      </c>
      <c r="H143">
        <v>100</v>
      </c>
      <c r="I143">
        <v>1.4394</v>
      </c>
      <c r="J143">
        <v>4</v>
      </c>
      <c r="K143">
        <v>437</v>
      </c>
      <c r="L143">
        <v>21.2</v>
      </c>
      <c r="M143">
        <v>396.9</v>
      </c>
      <c r="N143">
        <v>34.409999999999997</v>
      </c>
    </row>
    <row r="144" spans="1:14" x14ac:dyDescent="0.25">
      <c r="A144">
        <v>13.4</v>
      </c>
      <c r="B144">
        <v>3.3210500000000001</v>
      </c>
      <c r="C144">
        <v>0</v>
      </c>
      <c r="D144">
        <v>19.579999999999998</v>
      </c>
      <c r="E144">
        <v>1</v>
      </c>
      <c r="F144">
        <v>0.871</v>
      </c>
      <c r="G144">
        <v>5.4029999999999996</v>
      </c>
      <c r="H144">
        <v>100</v>
      </c>
      <c r="I144">
        <v>1.3216000000000001</v>
      </c>
      <c r="J144">
        <v>5</v>
      </c>
      <c r="K144">
        <v>403</v>
      </c>
      <c r="L144">
        <v>14.7</v>
      </c>
      <c r="M144">
        <v>396.9</v>
      </c>
      <c r="N144">
        <v>26.82</v>
      </c>
    </row>
    <row r="145" spans="1:14" x14ac:dyDescent="0.25">
      <c r="A145">
        <v>15.6</v>
      </c>
      <c r="B145">
        <v>4.0974000000000004</v>
      </c>
      <c r="C145">
        <v>0</v>
      </c>
      <c r="D145">
        <v>19.579999999999998</v>
      </c>
      <c r="E145">
        <v>0</v>
      </c>
      <c r="F145">
        <v>0.871</v>
      </c>
      <c r="G145">
        <v>5.468</v>
      </c>
      <c r="H145">
        <v>100</v>
      </c>
      <c r="I145">
        <v>1.4117999999999999</v>
      </c>
      <c r="J145">
        <v>5</v>
      </c>
      <c r="K145">
        <v>403</v>
      </c>
      <c r="L145">
        <v>14.7</v>
      </c>
      <c r="M145">
        <v>396.9</v>
      </c>
      <c r="N145">
        <v>26.42</v>
      </c>
    </row>
    <row r="146" spans="1:14" x14ac:dyDescent="0.25">
      <c r="A146">
        <v>11.8</v>
      </c>
      <c r="B146">
        <v>2.7797399999999999</v>
      </c>
      <c r="C146">
        <v>0</v>
      </c>
      <c r="D146">
        <v>19.579999999999998</v>
      </c>
      <c r="E146">
        <v>0</v>
      </c>
      <c r="F146">
        <v>0.871</v>
      </c>
      <c r="G146">
        <v>4.9029999999999996</v>
      </c>
      <c r="H146">
        <v>97.8</v>
      </c>
      <c r="I146">
        <v>1.3459000000000001</v>
      </c>
      <c r="J146">
        <v>5</v>
      </c>
      <c r="K146">
        <v>403</v>
      </c>
      <c r="L146">
        <v>14.7</v>
      </c>
      <c r="M146">
        <v>396.9</v>
      </c>
      <c r="N146">
        <v>29.29</v>
      </c>
    </row>
    <row r="147" spans="1:14" x14ac:dyDescent="0.25">
      <c r="A147">
        <v>13.8</v>
      </c>
      <c r="B147">
        <v>2.37934</v>
      </c>
      <c r="C147">
        <v>0</v>
      </c>
      <c r="D147">
        <v>19.579999999999998</v>
      </c>
      <c r="E147">
        <v>0</v>
      </c>
      <c r="F147">
        <v>0.871</v>
      </c>
      <c r="G147">
        <v>6.13</v>
      </c>
      <c r="H147">
        <v>100</v>
      </c>
      <c r="I147">
        <v>1.4191</v>
      </c>
      <c r="J147">
        <v>5</v>
      </c>
      <c r="K147">
        <v>403</v>
      </c>
      <c r="L147">
        <v>14.7</v>
      </c>
      <c r="M147">
        <v>172.91</v>
      </c>
      <c r="N147">
        <v>27.8</v>
      </c>
    </row>
    <row r="148" spans="1:14" x14ac:dyDescent="0.25">
      <c r="A148">
        <v>15.6</v>
      </c>
      <c r="B148">
        <v>2.1550500000000001</v>
      </c>
      <c r="C148">
        <v>0</v>
      </c>
      <c r="D148">
        <v>19.579999999999998</v>
      </c>
      <c r="E148">
        <v>0</v>
      </c>
      <c r="F148">
        <v>0.871</v>
      </c>
      <c r="G148">
        <v>5.6280000000000001</v>
      </c>
      <c r="H148">
        <v>100</v>
      </c>
      <c r="I148">
        <v>1.5165999999999999</v>
      </c>
      <c r="J148">
        <v>5</v>
      </c>
      <c r="K148">
        <v>403</v>
      </c>
      <c r="L148">
        <v>14.7</v>
      </c>
      <c r="M148">
        <v>169.27</v>
      </c>
      <c r="N148">
        <v>16.649999999999999</v>
      </c>
    </row>
    <row r="149" spans="1:14" x14ac:dyDescent="0.25">
      <c r="A149">
        <v>14.6</v>
      </c>
      <c r="B149">
        <v>2.3686199999999999</v>
      </c>
      <c r="C149">
        <v>0</v>
      </c>
      <c r="D149">
        <v>19.579999999999998</v>
      </c>
      <c r="E149">
        <v>0</v>
      </c>
      <c r="F149">
        <v>0.871</v>
      </c>
      <c r="G149">
        <v>4.9260000000000002</v>
      </c>
      <c r="H149">
        <v>95.7</v>
      </c>
      <c r="I149">
        <v>1.4608000000000001</v>
      </c>
      <c r="J149">
        <v>5</v>
      </c>
      <c r="K149">
        <v>403</v>
      </c>
      <c r="L149">
        <v>14.7</v>
      </c>
      <c r="M149">
        <v>391.71</v>
      </c>
      <c r="N149">
        <v>29.53</v>
      </c>
    </row>
    <row r="150" spans="1:14" x14ac:dyDescent="0.25">
      <c r="A150">
        <v>17.8</v>
      </c>
      <c r="B150">
        <v>2.3309899999999999</v>
      </c>
      <c r="C150">
        <v>0</v>
      </c>
      <c r="D150">
        <v>19.579999999999998</v>
      </c>
      <c r="E150">
        <v>0</v>
      </c>
      <c r="F150">
        <v>0.871</v>
      </c>
      <c r="G150">
        <v>5.1859999999999999</v>
      </c>
      <c r="H150">
        <v>93.8</v>
      </c>
      <c r="I150">
        <v>1.5296000000000001</v>
      </c>
      <c r="J150">
        <v>5</v>
      </c>
      <c r="K150">
        <v>403</v>
      </c>
      <c r="L150">
        <v>14.7</v>
      </c>
      <c r="M150">
        <v>356.99</v>
      </c>
      <c r="N150">
        <v>28.32</v>
      </c>
    </row>
    <row r="151" spans="1:14" x14ac:dyDescent="0.25">
      <c r="A151">
        <v>15.4</v>
      </c>
      <c r="B151">
        <v>2.7339699999999998</v>
      </c>
      <c r="C151">
        <v>0</v>
      </c>
      <c r="D151">
        <v>19.579999999999998</v>
      </c>
      <c r="E151">
        <v>0</v>
      </c>
      <c r="F151">
        <v>0.871</v>
      </c>
      <c r="G151">
        <v>5.5970000000000004</v>
      </c>
      <c r="H151">
        <v>94.9</v>
      </c>
      <c r="I151">
        <v>1.5257000000000001</v>
      </c>
      <c r="J151">
        <v>5</v>
      </c>
      <c r="K151">
        <v>403</v>
      </c>
      <c r="L151">
        <v>14.7</v>
      </c>
      <c r="M151">
        <v>351.85</v>
      </c>
      <c r="N151">
        <v>21.45</v>
      </c>
    </row>
    <row r="152" spans="1:14" x14ac:dyDescent="0.25">
      <c r="A152">
        <v>21.5</v>
      </c>
      <c r="B152">
        <v>1.6566000000000001</v>
      </c>
      <c r="C152">
        <v>0</v>
      </c>
      <c r="D152">
        <v>19.579999999999998</v>
      </c>
      <c r="E152">
        <v>0</v>
      </c>
      <c r="F152">
        <v>0.871</v>
      </c>
      <c r="G152">
        <v>6.1219999999999999</v>
      </c>
      <c r="H152">
        <v>97.3</v>
      </c>
      <c r="I152">
        <v>1.6180000000000001</v>
      </c>
      <c r="J152">
        <v>5</v>
      </c>
      <c r="K152">
        <v>403</v>
      </c>
      <c r="L152">
        <v>14.7</v>
      </c>
      <c r="M152">
        <v>372.8</v>
      </c>
      <c r="N152">
        <v>14.1</v>
      </c>
    </row>
    <row r="153" spans="1:14" x14ac:dyDescent="0.25">
      <c r="A153">
        <v>19.600000000000001</v>
      </c>
      <c r="B153">
        <v>1.4963200000000001</v>
      </c>
      <c r="C153">
        <v>0</v>
      </c>
      <c r="D153">
        <v>19.579999999999998</v>
      </c>
      <c r="E153">
        <v>0</v>
      </c>
      <c r="F153">
        <v>0.871</v>
      </c>
      <c r="G153">
        <v>5.4039999999999999</v>
      </c>
      <c r="H153">
        <v>100</v>
      </c>
      <c r="I153">
        <v>1.5915999999999999</v>
      </c>
      <c r="J153">
        <v>5</v>
      </c>
      <c r="K153">
        <v>403</v>
      </c>
      <c r="L153">
        <v>14.7</v>
      </c>
      <c r="M153">
        <v>341.6</v>
      </c>
      <c r="N153">
        <v>13.28</v>
      </c>
    </row>
    <row r="154" spans="1:14" x14ac:dyDescent="0.25">
      <c r="A154">
        <v>15.3</v>
      </c>
      <c r="B154">
        <v>1.1265799999999999</v>
      </c>
      <c r="C154">
        <v>0</v>
      </c>
      <c r="D154">
        <v>19.579999999999998</v>
      </c>
      <c r="E154">
        <v>1</v>
      </c>
      <c r="F154">
        <v>0.871</v>
      </c>
      <c r="G154">
        <v>5.0119999999999996</v>
      </c>
      <c r="H154">
        <v>88</v>
      </c>
      <c r="I154">
        <v>1.6102000000000001</v>
      </c>
      <c r="J154">
        <v>5</v>
      </c>
      <c r="K154">
        <v>403</v>
      </c>
      <c r="L154">
        <v>14.7</v>
      </c>
      <c r="M154">
        <v>343.28</v>
      </c>
      <c r="N154">
        <v>12.12</v>
      </c>
    </row>
    <row r="155" spans="1:14" x14ac:dyDescent="0.25">
      <c r="A155">
        <v>19.399999999999999</v>
      </c>
      <c r="B155">
        <v>2.1491799999999999</v>
      </c>
      <c r="C155">
        <v>0</v>
      </c>
      <c r="D155">
        <v>19.579999999999998</v>
      </c>
      <c r="E155">
        <v>0</v>
      </c>
      <c r="F155">
        <v>0.871</v>
      </c>
      <c r="G155">
        <v>5.7089999999999996</v>
      </c>
      <c r="H155">
        <v>98.5</v>
      </c>
      <c r="I155">
        <v>1.6232</v>
      </c>
      <c r="J155">
        <v>5</v>
      </c>
      <c r="K155">
        <v>403</v>
      </c>
      <c r="L155">
        <v>14.7</v>
      </c>
      <c r="M155">
        <v>261.95</v>
      </c>
      <c r="N155">
        <v>15.79</v>
      </c>
    </row>
    <row r="156" spans="1:14" x14ac:dyDescent="0.25">
      <c r="A156">
        <v>17</v>
      </c>
      <c r="B156">
        <v>1.4138500000000001</v>
      </c>
      <c r="C156">
        <v>0</v>
      </c>
      <c r="D156">
        <v>19.579999999999998</v>
      </c>
      <c r="E156">
        <v>1</v>
      </c>
      <c r="F156">
        <v>0.871</v>
      </c>
      <c r="G156">
        <v>6.1289999999999996</v>
      </c>
      <c r="H156">
        <v>96</v>
      </c>
      <c r="I156">
        <v>1.7494000000000001</v>
      </c>
      <c r="J156">
        <v>5</v>
      </c>
      <c r="K156">
        <v>403</v>
      </c>
      <c r="L156">
        <v>14.7</v>
      </c>
      <c r="M156">
        <v>321.02</v>
      </c>
      <c r="N156">
        <v>15.12</v>
      </c>
    </row>
    <row r="157" spans="1:14" x14ac:dyDescent="0.25">
      <c r="A157">
        <v>15.6</v>
      </c>
      <c r="B157">
        <v>3.5350100000000002</v>
      </c>
      <c r="C157">
        <v>0</v>
      </c>
      <c r="D157">
        <v>19.579999999999998</v>
      </c>
      <c r="E157">
        <v>1</v>
      </c>
      <c r="F157">
        <v>0.871</v>
      </c>
      <c r="G157">
        <v>6.1520000000000001</v>
      </c>
      <c r="H157">
        <v>82.6</v>
      </c>
      <c r="I157">
        <v>1.7455000000000001</v>
      </c>
      <c r="J157">
        <v>5</v>
      </c>
      <c r="K157">
        <v>403</v>
      </c>
      <c r="L157">
        <v>14.7</v>
      </c>
      <c r="M157">
        <v>88.01</v>
      </c>
      <c r="N157">
        <v>15.02</v>
      </c>
    </row>
    <row r="158" spans="1:14" x14ac:dyDescent="0.25">
      <c r="A158">
        <v>13.1</v>
      </c>
      <c r="B158">
        <v>2.4466800000000002</v>
      </c>
      <c r="C158">
        <v>0</v>
      </c>
      <c r="D158">
        <v>19.579999999999998</v>
      </c>
      <c r="E158">
        <v>0</v>
      </c>
      <c r="F158">
        <v>0.871</v>
      </c>
      <c r="G158">
        <v>5.2720000000000002</v>
      </c>
      <c r="H158">
        <v>94</v>
      </c>
      <c r="I158">
        <v>1.7363999999999999</v>
      </c>
      <c r="J158">
        <v>5</v>
      </c>
      <c r="K158">
        <v>403</v>
      </c>
      <c r="L158">
        <v>14.7</v>
      </c>
      <c r="M158">
        <v>88.63</v>
      </c>
      <c r="N158">
        <v>16.14</v>
      </c>
    </row>
    <row r="159" spans="1:14" x14ac:dyDescent="0.25">
      <c r="A159">
        <v>41.3</v>
      </c>
      <c r="B159">
        <v>1.2235799999999999</v>
      </c>
      <c r="C159">
        <v>0</v>
      </c>
      <c r="D159">
        <v>19.579999999999998</v>
      </c>
      <c r="E159">
        <v>0</v>
      </c>
      <c r="F159">
        <v>0.60499999999999998</v>
      </c>
      <c r="G159">
        <v>6.9429999999999996</v>
      </c>
      <c r="H159">
        <v>97.4</v>
      </c>
      <c r="I159">
        <v>1.8773</v>
      </c>
      <c r="J159">
        <v>5</v>
      </c>
      <c r="K159">
        <v>403</v>
      </c>
      <c r="L159">
        <v>14.7</v>
      </c>
      <c r="M159">
        <v>363.43</v>
      </c>
      <c r="N159">
        <v>4.59</v>
      </c>
    </row>
    <row r="160" spans="1:14" x14ac:dyDescent="0.25">
      <c r="A160">
        <v>24.3</v>
      </c>
      <c r="B160">
        <v>1.34284</v>
      </c>
      <c r="C160">
        <v>0</v>
      </c>
      <c r="D160">
        <v>19.579999999999998</v>
      </c>
      <c r="E160">
        <v>0</v>
      </c>
      <c r="F160">
        <v>0.60499999999999998</v>
      </c>
      <c r="G160">
        <v>6.0659999999999998</v>
      </c>
      <c r="H160">
        <v>100</v>
      </c>
      <c r="I160">
        <v>1.7573000000000001</v>
      </c>
      <c r="J160">
        <v>5</v>
      </c>
      <c r="K160">
        <v>403</v>
      </c>
      <c r="L160">
        <v>14.7</v>
      </c>
      <c r="M160">
        <v>353.89</v>
      </c>
      <c r="N160">
        <v>6.43</v>
      </c>
    </row>
    <row r="161" spans="1:14" x14ac:dyDescent="0.25">
      <c r="A161">
        <v>23.3</v>
      </c>
      <c r="B161">
        <v>1.42502</v>
      </c>
      <c r="C161">
        <v>0</v>
      </c>
      <c r="D161">
        <v>19.579999999999998</v>
      </c>
      <c r="E161">
        <v>0</v>
      </c>
      <c r="F161">
        <v>0.871</v>
      </c>
      <c r="G161">
        <v>6.51</v>
      </c>
      <c r="H161">
        <v>100</v>
      </c>
      <c r="I161">
        <v>1.7659</v>
      </c>
      <c r="J161">
        <v>5</v>
      </c>
      <c r="K161">
        <v>403</v>
      </c>
      <c r="L161">
        <v>14.7</v>
      </c>
      <c r="M161">
        <v>364.31</v>
      </c>
      <c r="N161">
        <v>7.39</v>
      </c>
    </row>
    <row r="162" spans="1:14" x14ac:dyDescent="0.25">
      <c r="A162">
        <v>27</v>
      </c>
      <c r="B162">
        <v>1.27346</v>
      </c>
      <c r="C162">
        <v>0</v>
      </c>
      <c r="D162">
        <v>19.579999999999998</v>
      </c>
      <c r="E162">
        <v>1</v>
      </c>
      <c r="F162">
        <v>0.60499999999999998</v>
      </c>
      <c r="G162">
        <v>6.25</v>
      </c>
      <c r="H162">
        <v>92.6</v>
      </c>
      <c r="I162">
        <v>1.7984</v>
      </c>
      <c r="J162">
        <v>5</v>
      </c>
      <c r="K162">
        <v>403</v>
      </c>
      <c r="L162">
        <v>14.7</v>
      </c>
      <c r="M162">
        <v>338.92</v>
      </c>
      <c r="N162">
        <v>5.5</v>
      </c>
    </row>
    <row r="163" spans="1:14" x14ac:dyDescent="0.25">
      <c r="A163">
        <v>50</v>
      </c>
      <c r="B163">
        <v>1.46336</v>
      </c>
      <c r="C163">
        <v>0</v>
      </c>
      <c r="D163">
        <v>19.579999999999998</v>
      </c>
      <c r="E163">
        <v>0</v>
      </c>
      <c r="F163">
        <v>0.60499999999999998</v>
      </c>
      <c r="G163">
        <v>7.4889999999999999</v>
      </c>
      <c r="H163">
        <v>90.8</v>
      </c>
      <c r="I163">
        <v>1.9709000000000001</v>
      </c>
      <c r="J163">
        <v>5</v>
      </c>
      <c r="K163">
        <v>403</v>
      </c>
      <c r="L163">
        <v>14.7</v>
      </c>
      <c r="M163">
        <v>374.43</v>
      </c>
      <c r="N163">
        <v>1.73</v>
      </c>
    </row>
    <row r="164" spans="1:14" x14ac:dyDescent="0.25">
      <c r="A164">
        <v>50</v>
      </c>
      <c r="B164">
        <v>1.8337699999999999</v>
      </c>
      <c r="C164">
        <v>0</v>
      </c>
      <c r="D164">
        <v>19.579999999999998</v>
      </c>
      <c r="E164">
        <v>1</v>
      </c>
      <c r="F164">
        <v>0.60499999999999998</v>
      </c>
      <c r="G164">
        <v>7.8019999999999996</v>
      </c>
      <c r="H164">
        <v>98.2</v>
      </c>
      <c r="I164">
        <v>2.0407000000000002</v>
      </c>
      <c r="J164">
        <v>5</v>
      </c>
      <c r="K164">
        <v>403</v>
      </c>
      <c r="L164">
        <v>14.7</v>
      </c>
      <c r="M164">
        <v>389.61</v>
      </c>
      <c r="N164">
        <v>1.92</v>
      </c>
    </row>
    <row r="165" spans="1:14" x14ac:dyDescent="0.25">
      <c r="A165">
        <v>50</v>
      </c>
      <c r="B165">
        <v>1.51902</v>
      </c>
      <c r="C165">
        <v>0</v>
      </c>
      <c r="D165">
        <v>19.579999999999998</v>
      </c>
      <c r="E165">
        <v>1</v>
      </c>
      <c r="F165">
        <v>0.60499999999999998</v>
      </c>
      <c r="G165">
        <v>8.375</v>
      </c>
      <c r="H165">
        <v>93.9</v>
      </c>
      <c r="I165">
        <v>2.1619999999999999</v>
      </c>
      <c r="J165">
        <v>5</v>
      </c>
      <c r="K165">
        <v>403</v>
      </c>
      <c r="L165">
        <v>14.7</v>
      </c>
      <c r="M165">
        <v>388.45</v>
      </c>
      <c r="N165">
        <v>3.32</v>
      </c>
    </row>
    <row r="166" spans="1:14" x14ac:dyDescent="0.25">
      <c r="A166">
        <v>22.7</v>
      </c>
      <c r="B166">
        <v>2.2423600000000001</v>
      </c>
      <c r="C166">
        <v>0</v>
      </c>
      <c r="D166">
        <v>19.579999999999998</v>
      </c>
      <c r="E166">
        <v>0</v>
      </c>
      <c r="F166">
        <v>0.60499999999999998</v>
      </c>
      <c r="G166">
        <v>5.8540000000000001</v>
      </c>
      <c r="H166">
        <v>91.8</v>
      </c>
      <c r="I166">
        <v>2.4220000000000002</v>
      </c>
      <c r="J166">
        <v>5</v>
      </c>
      <c r="K166">
        <v>403</v>
      </c>
      <c r="L166">
        <v>14.7</v>
      </c>
      <c r="M166">
        <v>395.11</v>
      </c>
      <c r="N166">
        <v>11.64</v>
      </c>
    </row>
    <row r="167" spans="1:14" x14ac:dyDescent="0.25">
      <c r="A167">
        <v>25</v>
      </c>
      <c r="B167">
        <v>2.9239999999999999</v>
      </c>
      <c r="C167">
        <v>0</v>
      </c>
      <c r="D167">
        <v>19.579999999999998</v>
      </c>
      <c r="E167">
        <v>0</v>
      </c>
      <c r="F167">
        <v>0.60499999999999998</v>
      </c>
      <c r="G167">
        <v>6.101</v>
      </c>
      <c r="H167">
        <v>93</v>
      </c>
      <c r="I167">
        <v>2.2833999999999999</v>
      </c>
      <c r="J167">
        <v>5</v>
      </c>
      <c r="K167">
        <v>403</v>
      </c>
      <c r="L167">
        <v>14.7</v>
      </c>
      <c r="M167">
        <v>240.16</v>
      </c>
      <c r="N167">
        <v>9.81</v>
      </c>
    </row>
    <row r="168" spans="1:14" x14ac:dyDescent="0.25">
      <c r="A168">
        <v>50</v>
      </c>
      <c r="B168">
        <v>2.0101900000000001</v>
      </c>
      <c r="C168">
        <v>0</v>
      </c>
      <c r="D168">
        <v>19.579999999999998</v>
      </c>
      <c r="E168">
        <v>0</v>
      </c>
      <c r="F168">
        <v>0.60499999999999998</v>
      </c>
      <c r="G168">
        <v>7.9290000000000003</v>
      </c>
      <c r="H168">
        <v>96.2</v>
      </c>
      <c r="I168">
        <v>2.0459000000000001</v>
      </c>
      <c r="J168">
        <v>5</v>
      </c>
      <c r="K168">
        <v>403</v>
      </c>
      <c r="L168">
        <v>14.7</v>
      </c>
      <c r="M168">
        <v>369.3</v>
      </c>
      <c r="N168">
        <v>3.7</v>
      </c>
    </row>
    <row r="169" spans="1:14" x14ac:dyDescent="0.25">
      <c r="A169">
        <v>23.8</v>
      </c>
      <c r="B169">
        <v>1.8002800000000001</v>
      </c>
      <c r="C169">
        <v>0</v>
      </c>
      <c r="D169">
        <v>19.579999999999998</v>
      </c>
      <c r="E169">
        <v>0</v>
      </c>
      <c r="F169">
        <v>0.60499999999999998</v>
      </c>
      <c r="G169">
        <v>5.8769999999999998</v>
      </c>
      <c r="H169">
        <v>79.2</v>
      </c>
      <c r="I169">
        <v>2.4258999999999999</v>
      </c>
      <c r="J169">
        <v>5</v>
      </c>
      <c r="K169">
        <v>403</v>
      </c>
      <c r="L169">
        <v>14.7</v>
      </c>
      <c r="M169">
        <v>227.61</v>
      </c>
      <c r="N169">
        <v>12.14</v>
      </c>
    </row>
    <row r="170" spans="1:14" x14ac:dyDescent="0.25">
      <c r="A170">
        <v>23.8</v>
      </c>
      <c r="B170">
        <v>2.3003999999999998</v>
      </c>
      <c r="C170">
        <v>0</v>
      </c>
      <c r="D170">
        <v>19.579999999999998</v>
      </c>
      <c r="E170">
        <v>0</v>
      </c>
      <c r="F170">
        <v>0.60499999999999998</v>
      </c>
      <c r="G170">
        <v>6.319</v>
      </c>
      <c r="H170">
        <v>96.1</v>
      </c>
      <c r="I170">
        <v>2.1</v>
      </c>
      <c r="J170">
        <v>5</v>
      </c>
      <c r="K170">
        <v>403</v>
      </c>
      <c r="L170">
        <v>14.7</v>
      </c>
      <c r="M170">
        <v>297.08999999999997</v>
      </c>
      <c r="N170">
        <v>11.1</v>
      </c>
    </row>
    <row r="171" spans="1:14" x14ac:dyDescent="0.25">
      <c r="A171">
        <v>22.3</v>
      </c>
      <c r="B171">
        <v>2.4495300000000002</v>
      </c>
      <c r="C171">
        <v>0</v>
      </c>
      <c r="D171">
        <v>19.579999999999998</v>
      </c>
      <c r="E171">
        <v>0</v>
      </c>
      <c r="F171">
        <v>0.60499999999999998</v>
      </c>
      <c r="G171">
        <v>6.4020000000000001</v>
      </c>
      <c r="H171">
        <v>95.2</v>
      </c>
      <c r="I171">
        <v>2.2625000000000002</v>
      </c>
      <c r="J171">
        <v>5</v>
      </c>
      <c r="K171">
        <v>403</v>
      </c>
      <c r="L171">
        <v>14.7</v>
      </c>
      <c r="M171">
        <v>330.04</v>
      </c>
      <c r="N171">
        <v>11.32</v>
      </c>
    </row>
    <row r="172" spans="1:14" x14ac:dyDescent="0.25">
      <c r="A172">
        <v>17.399999999999999</v>
      </c>
      <c r="B172">
        <v>1.2074199999999999</v>
      </c>
      <c r="C172">
        <v>0</v>
      </c>
      <c r="D172">
        <v>19.579999999999998</v>
      </c>
      <c r="E172">
        <v>0</v>
      </c>
      <c r="F172">
        <v>0.60499999999999998</v>
      </c>
      <c r="G172">
        <v>5.875</v>
      </c>
      <c r="H172">
        <v>94.6</v>
      </c>
      <c r="I172">
        <v>2.4258999999999999</v>
      </c>
      <c r="J172">
        <v>5</v>
      </c>
      <c r="K172">
        <v>403</v>
      </c>
      <c r="L172">
        <v>14.7</v>
      </c>
      <c r="M172">
        <v>292.29000000000002</v>
      </c>
      <c r="N172">
        <v>14.43</v>
      </c>
    </row>
    <row r="173" spans="1:14" x14ac:dyDescent="0.25">
      <c r="A173">
        <v>19.100000000000001</v>
      </c>
      <c r="B173">
        <v>2.3138999999999998</v>
      </c>
      <c r="C173">
        <v>0</v>
      </c>
      <c r="D173">
        <v>19.579999999999998</v>
      </c>
      <c r="E173">
        <v>0</v>
      </c>
      <c r="F173">
        <v>0.60499999999999998</v>
      </c>
      <c r="G173">
        <v>5.88</v>
      </c>
      <c r="H173">
        <v>97.3</v>
      </c>
      <c r="I173">
        <v>2.3887</v>
      </c>
      <c r="J173">
        <v>5</v>
      </c>
      <c r="K173">
        <v>403</v>
      </c>
      <c r="L173">
        <v>14.7</v>
      </c>
      <c r="M173">
        <v>348.13</v>
      </c>
      <c r="N173">
        <v>12.03</v>
      </c>
    </row>
    <row r="174" spans="1:14" x14ac:dyDescent="0.25">
      <c r="A174">
        <v>23.1</v>
      </c>
      <c r="B174">
        <v>0.13914000000000001</v>
      </c>
      <c r="C174">
        <v>0</v>
      </c>
      <c r="D174">
        <v>4.05</v>
      </c>
      <c r="E174">
        <v>0</v>
      </c>
      <c r="F174">
        <v>0.51</v>
      </c>
      <c r="G174">
        <v>5.5720000000000001</v>
      </c>
      <c r="H174">
        <v>88.5</v>
      </c>
      <c r="I174">
        <v>2.5960999999999999</v>
      </c>
      <c r="J174">
        <v>5</v>
      </c>
      <c r="K174">
        <v>296</v>
      </c>
      <c r="L174">
        <v>16.600000000000001</v>
      </c>
      <c r="M174">
        <v>396.9</v>
      </c>
      <c r="N174">
        <v>14.69</v>
      </c>
    </row>
    <row r="175" spans="1:14" x14ac:dyDescent="0.25">
      <c r="A175">
        <v>23.6</v>
      </c>
      <c r="B175">
        <v>9.178E-2</v>
      </c>
      <c r="C175">
        <v>0</v>
      </c>
      <c r="D175">
        <v>4.05</v>
      </c>
      <c r="E175">
        <v>0</v>
      </c>
      <c r="F175">
        <v>0.51</v>
      </c>
      <c r="G175">
        <v>6.4160000000000004</v>
      </c>
      <c r="H175">
        <v>84.1</v>
      </c>
      <c r="I175">
        <v>2.6463000000000001</v>
      </c>
      <c r="J175">
        <v>5</v>
      </c>
      <c r="K175">
        <v>296</v>
      </c>
      <c r="L175">
        <v>16.600000000000001</v>
      </c>
      <c r="M175">
        <v>395.5</v>
      </c>
      <c r="N175">
        <v>9.0399999999999991</v>
      </c>
    </row>
    <row r="176" spans="1:14" x14ac:dyDescent="0.25">
      <c r="A176">
        <v>22.6</v>
      </c>
      <c r="B176">
        <v>8.4470000000000003E-2</v>
      </c>
      <c r="C176">
        <v>0</v>
      </c>
      <c r="D176">
        <v>4.05</v>
      </c>
      <c r="E176">
        <v>0</v>
      </c>
      <c r="F176">
        <v>0.51</v>
      </c>
      <c r="G176">
        <v>5.859</v>
      </c>
      <c r="H176">
        <v>68.7</v>
      </c>
      <c r="I176">
        <v>2.7019000000000002</v>
      </c>
      <c r="J176">
        <v>5</v>
      </c>
      <c r="K176">
        <v>296</v>
      </c>
      <c r="L176">
        <v>16.600000000000001</v>
      </c>
      <c r="M176">
        <v>393.23</v>
      </c>
      <c r="N176">
        <v>9.64</v>
      </c>
    </row>
    <row r="177" spans="1:14" x14ac:dyDescent="0.25">
      <c r="A177">
        <v>29.4</v>
      </c>
      <c r="B177">
        <v>6.6640000000000005E-2</v>
      </c>
      <c r="C177">
        <v>0</v>
      </c>
      <c r="D177">
        <v>4.05</v>
      </c>
      <c r="E177">
        <v>0</v>
      </c>
      <c r="F177">
        <v>0.51</v>
      </c>
      <c r="G177">
        <v>6.5460000000000003</v>
      </c>
      <c r="H177">
        <v>33.1</v>
      </c>
      <c r="I177">
        <v>3.1322999999999999</v>
      </c>
      <c r="J177">
        <v>5</v>
      </c>
      <c r="K177">
        <v>296</v>
      </c>
      <c r="L177">
        <v>16.600000000000001</v>
      </c>
      <c r="M177">
        <v>390.96</v>
      </c>
      <c r="N177">
        <v>5.33</v>
      </c>
    </row>
    <row r="178" spans="1:14" x14ac:dyDescent="0.25">
      <c r="A178">
        <v>23.2</v>
      </c>
      <c r="B178">
        <v>7.0220000000000005E-2</v>
      </c>
      <c r="C178">
        <v>0</v>
      </c>
      <c r="D178">
        <v>4.05</v>
      </c>
      <c r="E178">
        <v>0</v>
      </c>
      <c r="F178">
        <v>0.51</v>
      </c>
      <c r="G178">
        <v>6.02</v>
      </c>
      <c r="H178">
        <v>47.2</v>
      </c>
      <c r="I178">
        <v>3.5548999999999999</v>
      </c>
      <c r="J178">
        <v>5</v>
      </c>
      <c r="K178">
        <v>296</v>
      </c>
      <c r="L178">
        <v>16.600000000000001</v>
      </c>
      <c r="M178">
        <v>393.23</v>
      </c>
      <c r="N178">
        <v>10.11</v>
      </c>
    </row>
    <row r="179" spans="1:14" x14ac:dyDescent="0.25">
      <c r="A179">
        <v>24.6</v>
      </c>
      <c r="B179">
        <v>5.425E-2</v>
      </c>
      <c r="C179">
        <v>0</v>
      </c>
      <c r="D179">
        <v>4.05</v>
      </c>
      <c r="E179">
        <v>0</v>
      </c>
      <c r="F179">
        <v>0.51</v>
      </c>
      <c r="G179">
        <v>6.3150000000000004</v>
      </c>
      <c r="H179">
        <v>73.400000000000006</v>
      </c>
      <c r="I179">
        <v>3.3174999999999999</v>
      </c>
      <c r="J179">
        <v>5</v>
      </c>
      <c r="K179">
        <v>296</v>
      </c>
      <c r="L179">
        <v>16.600000000000001</v>
      </c>
      <c r="M179">
        <v>395.6</v>
      </c>
      <c r="N179">
        <v>6.29</v>
      </c>
    </row>
    <row r="180" spans="1:14" x14ac:dyDescent="0.25">
      <c r="A180">
        <v>29.9</v>
      </c>
      <c r="B180">
        <v>6.6420000000000007E-2</v>
      </c>
      <c r="C180">
        <v>0</v>
      </c>
      <c r="D180">
        <v>4.05</v>
      </c>
      <c r="E180">
        <v>0</v>
      </c>
      <c r="F180">
        <v>0.51</v>
      </c>
      <c r="G180">
        <v>6.86</v>
      </c>
      <c r="H180">
        <v>74.400000000000006</v>
      </c>
      <c r="I180">
        <v>2.9152999999999998</v>
      </c>
      <c r="J180">
        <v>5</v>
      </c>
      <c r="K180">
        <v>296</v>
      </c>
      <c r="L180">
        <v>16.600000000000001</v>
      </c>
      <c r="M180">
        <v>391.27</v>
      </c>
      <c r="N180">
        <v>6.92</v>
      </c>
    </row>
    <row r="181" spans="1:14" x14ac:dyDescent="0.25">
      <c r="A181">
        <v>37.200000000000003</v>
      </c>
      <c r="B181">
        <v>5.7799999999999997E-2</v>
      </c>
      <c r="C181">
        <v>0</v>
      </c>
      <c r="D181">
        <v>2.46</v>
      </c>
      <c r="E181">
        <v>0</v>
      </c>
      <c r="F181">
        <v>0.48799999999999999</v>
      </c>
      <c r="G181">
        <v>6.98</v>
      </c>
      <c r="H181">
        <v>58.4</v>
      </c>
      <c r="I181">
        <v>2.8290000000000002</v>
      </c>
      <c r="J181">
        <v>3</v>
      </c>
      <c r="K181">
        <v>193</v>
      </c>
      <c r="L181">
        <v>17.8</v>
      </c>
      <c r="M181">
        <v>396.9</v>
      </c>
      <c r="N181">
        <v>5.04</v>
      </c>
    </row>
    <row r="182" spans="1:14" x14ac:dyDescent="0.25">
      <c r="A182">
        <v>39.799999999999997</v>
      </c>
      <c r="B182">
        <v>6.5879999999999994E-2</v>
      </c>
      <c r="C182">
        <v>0</v>
      </c>
      <c r="D182">
        <v>2.46</v>
      </c>
      <c r="E182">
        <v>0</v>
      </c>
      <c r="F182">
        <v>0.48799999999999999</v>
      </c>
      <c r="G182">
        <v>7.7649999999999997</v>
      </c>
      <c r="H182">
        <v>83.3</v>
      </c>
      <c r="I182">
        <v>2.7410000000000001</v>
      </c>
      <c r="J182">
        <v>3</v>
      </c>
      <c r="K182">
        <v>193</v>
      </c>
      <c r="L182">
        <v>17.8</v>
      </c>
      <c r="M182">
        <v>395.56</v>
      </c>
      <c r="N182">
        <v>7.56</v>
      </c>
    </row>
    <row r="183" spans="1:14" x14ac:dyDescent="0.25">
      <c r="A183">
        <v>36.200000000000003</v>
      </c>
      <c r="B183">
        <v>6.8879999999999997E-2</v>
      </c>
      <c r="C183">
        <v>0</v>
      </c>
      <c r="D183">
        <v>2.46</v>
      </c>
      <c r="E183">
        <v>0</v>
      </c>
      <c r="F183">
        <v>0.48799999999999999</v>
      </c>
      <c r="G183">
        <v>6.1440000000000001</v>
      </c>
      <c r="H183">
        <v>62.2</v>
      </c>
      <c r="I183">
        <v>2.5979000000000001</v>
      </c>
      <c r="J183">
        <v>3</v>
      </c>
      <c r="K183">
        <v>193</v>
      </c>
      <c r="L183">
        <v>17.8</v>
      </c>
      <c r="M183">
        <v>396.9</v>
      </c>
      <c r="N183">
        <v>9.4499999999999993</v>
      </c>
    </row>
    <row r="184" spans="1:14" x14ac:dyDescent="0.25">
      <c r="A184">
        <v>37.9</v>
      </c>
      <c r="B184">
        <v>9.103E-2</v>
      </c>
      <c r="C184">
        <v>0</v>
      </c>
      <c r="D184">
        <v>2.46</v>
      </c>
      <c r="E184">
        <v>0</v>
      </c>
      <c r="F184">
        <v>0.48799999999999999</v>
      </c>
      <c r="G184">
        <v>7.1550000000000002</v>
      </c>
      <c r="H184">
        <v>92.2</v>
      </c>
      <c r="I184">
        <v>2.7006000000000001</v>
      </c>
      <c r="J184">
        <v>3</v>
      </c>
      <c r="K184">
        <v>193</v>
      </c>
      <c r="L184">
        <v>17.8</v>
      </c>
      <c r="M184">
        <v>394.12</v>
      </c>
      <c r="N184">
        <v>4.82</v>
      </c>
    </row>
    <row r="185" spans="1:14" x14ac:dyDescent="0.25">
      <c r="A185">
        <v>32.5</v>
      </c>
      <c r="B185">
        <v>0.10008</v>
      </c>
      <c r="C185">
        <v>0</v>
      </c>
      <c r="D185">
        <v>2.46</v>
      </c>
      <c r="E185">
        <v>0</v>
      </c>
      <c r="F185">
        <v>0.48799999999999999</v>
      </c>
      <c r="G185">
        <v>6.5629999999999997</v>
      </c>
      <c r="H185">
        <v>95.6</v>
      </c>
      <c r="I185">
        <v>2.847</v>
      </c>
      <c r="J185">
        <v>3</v>
      </c>
      <c r="K185">
        <v>193</v>
      </c>
      <c r="L185">
        <v>17.8</v>
      </c>
      <c r="M185">
        <v>396.9</v>
      </c>
      <c r="N185">
        <v>5.68</v>
      </c>
    </row>
    <row r="186" spans="1:14" x14ac:dyDescent="0.25">
      <c r="A186">
        <v>26.4</v>
      </c>
      <c r="B186">
        <v>8.3080000000000001E-2</v>
      </c>
      <c r="C186">
        <v>0</v>
      </c>
      <c r="D186">
        <v>2.46</v>
      </c>
      <c r="E186">
        <v>0</v>
      </c>
      <c r="F186">
        <v>0.48799999999999999</v>
      </c>
      <c r="G186">
        <v>5.6040000000000001</v>
      </c>
      <c r="H186">
        <v>89.8</v>
      </c>
      <c r="I186">
        <v>2.9878999999999998</v>
      </c>
      <c r="J186">
        <v>3</v>
      </c>
      <c r="K186">
        <v>193</v>
      </c>
      <c r="L186">
        <v>17.8</v>
      </c>
      <c r="M186">
        <v>391</v>
      </c>
      <c r="N186">
        <v>13.98</v>
      </c>
    </row>
    <row r="187" spans="1:14" x14ac:dyDescent="0.25">
      <c r="A187">
        <v>29.6</v>
      </c>
      <c r="B187">
        <v>6.0470000000000003E-2</v>
      </c>
      <c r="C187">
        <v>0</v>
      </c>
      <c r="D187">
        <v>2.46</v>
      </c>
      <c r="E187">
        <v>0</v>
      </c>
      <c r="F187">
        <v>0.48799999999999999</v>
      </c>
      <c r="G187">
        <v>6.1529999999999996</v>
      </c>
      <c r="H187">
        <v>68.8</v>
      </c>
      <c r="I187">
        <v>3.2797000000000001</v>
      </c>
      <c r="J187">
        <v>3</v>
      </c>
      <c r="K187">
        <v>193</v>
      </c>
      <c r="L187">
        <v>17.8</v>
      </c>
      <c r="M187">
        <v>387.11</v>
      </c>
      <c r="N187">
        <v>13.15</v>
      </c>
    </row>
    <row r="188" spans="1:14" x14ac:dyDescent="0.25">
      <c r="A188">
        <v>50</v>
      </c>
      <c r="B188">
        <v>5.602E-2</v>
      </c>
      <c r="C188">
        <v>0</v>
      </c>
      <c r="D188">
        <v>2.46</v>
      </c>
      <c r="E188">
        <v>0</v>
      </c>
      <c r="F188">
        <v>0.48799999999999999</v>
      </c>
      <c r="G188">
        <v>7.8310000000000004</v>
      </c>
      <c r="H188">
        <v>53.6</v>
      </c>
      <c r="I188">
        <v>3.1991999999999998</v>
      </c>
      <c r="J188">
        <v>3</v>
      </c>
      <c r="K188">
        <v>193</v>
      </c>
      <c r="L188">
        <v>17.8</v>
      </c>
      <c r="M188">
        <v>392.63</v>
      </c>
      <c r="N188">
        <v>4.45</v>
      </c>
    </row>
    <row r="189" spans="1:14" x14ac:dyDescent="0.25">
      <c r="A189">
        <v>32</v>
      </c>
      <c r="B189">
        <v>7.8750000000000001E-2</v>
      </c>
      <c r="C189">
        <v>45</v>
      </c>
      <c r="D189">
        <v>3.44</v>
      </c>
      <c r="E189">
        <v>0</v>
      </c>
      <c r="F189">
        <v>0.437</v>
      </c>
      <c r="G189">
        <v>6.782</v>
      </c>
      <c r="H189">
        <v>41.1</v>
      </c>
      <c r="I189">
        <v>3.7886000000000002</v>
      </c>
      <c r="J189">
        <v>5</v>
      </c>
      <c r="K189">
        <v>398</v>
      </c>
      <c r="L189">
        <v>15.2</v>
      </c>
      <c r="M189">
        <v>393.87</v>
      </c>
      <c r="N189">
        <v>6.68</v>
      </c>
    </row>
    <row r="190" spans="1:14" x14ac:dyDescent="0.25">
      <c r="A190">
        <v>29.8</v>
      </c>
      <c r="B190">
        <v>0.12579000000000001</v>
      </c>
      <c r="C190">
        <v>45</v>
      </c>
      <c r="D190">
        <v>3.44</v>
      </c>
      <c r="E190">
        <v>0</v>
      </c>
      <c r="F190">
        <v>0.437</v>
      </c>
      <c r="G190">
        <v>6.556</v>
      </c>
      <c r="H190">
        <v>29.1</v>
      </c>
      <c r="I190">
        <v>4.5667</v>
      </c>
      <c r="J190">
        <v>5</v>
      </c>
      <c r="K190">
        <v>398</v>
      </c>
      <c r="L190">
        <v>15.2</v>
      </c>
      <c r="M190">
        <v>382.84</v>
      </c>
      <c r="N190">
        <v>4.5599999999999996</v>
      </c>
    </row>
    <row r="191" spans="1:14" x14ac:dyDescent="0.25">
      <c r="A191">
        <v>34.9</v>
      </c>
      <c r="B191">
        <v>8.3699999999999997E-2</v>
      </c>
      <c r="C191">
        <v>45</v>
      </c>
      <c r="D191">
        <v>3.44</v>
      </c>
      <c r="E191">
        <v>0</v>
      </c>
      <c r="F191">
        <v>0.437</v>
      </c>
      <c r="G191">
        <v>7.1849999999999996</v>
      </c>
      <c r="H191">
        <v>38.9</v>
      </c>
      <c r="I191">
        <v>4.5667</v>
      </c>
      <c r="J191">
        <v>5</v>
      </c>
      <c r="K191">
        <v>398</v>
      </c>
      <c r="L191">
        <v>15.2</v>
      </c>
      <c r="M191">
        <v>396.9</v>
      </c>
      <c r="N191">
        <v>5.39</v>
      </c>
    </row>
    <row r="192" spans="1:14" x14ac:dyDescent="0.25">
      <c r="A192">
        <v>37</v>
      </c>
      <c r="B192">
        <v>9.0679999999999997E-2</v>
      </c>
      <c r="C192">
        <v>45</v>
      </c>
      <c r="D192">
        <v>3.44</v>
      </c>
      <c r="E192">
        <v>0</v>
      </c>
      <c r="F192">
        <v>0.437</v>
      </c>
      <c r="G192">
        <v>6.9509999999999996</v>
      </c>
      <c r="H192">
        <v>21.5</v>
      </c>
      <c r="I192">
        <v>6.4798</v>
      </c>
      <c r="J192">
        <v>5</v>
      </c>
      <c r="K192">
        <v>398</v>
      </c>
      <c r="L192">
        <v>15.2</v>
      </c>
      <c r="M192">
        <v>377.68</v>
      </c>
      <c r="N192">
        <v>5.0999999999999996</v>
      </c>
    </row>
    <row r="193" spans="1:14" x14ac:dyDescent="0.25">
      <c r="A193">
        <v>30.5</v>
      </c>
      <c r="B193">
        <v>6.9110000000000005E-2</v>
      </c>
      <c r="C193">
        <v>45</v>
      </c>
      <c r="D193">
        <v>3.44</v>
      </c>
      <c r="E193">
        <v>0</v>
      </c>
      <c r="F193">
        <v>0.437</v>
      </c>
      <c r="G193">
        <v>6.7389999999999999</v>
      </c>
      <c r="H193">
        <v>30.8</v>
      </c>
      <c r="I193">
        <v>6.4798</v>
      </c>
      <c r="J193">
        <v>5</v>
      </c>
      <c r="K193">
        <v>398</v>
      </c>
      <c r="L193">
        <v>15.2</v>
      </c>
      <c r="M193">
        <v>389.71</v>
      </c>
      <c r="N193">
        <v>4.6900000000000004</v>
      </c>
    </row>
    <row r="194" spans="1:14" x14ac:dyDescent="0.25">
      <c r="A194">
        <v>36.4</v>
      </c>
      <c r="B194">
        <v>8.6639999999999995E-2</v>
      </c>
      <c r="C194">
        <v>45</v>
      </c>
      <c r="D194">
        <v>3.44</v>
      </c>
      <c r="E194">
        <v>0</v>
      </c>
      <c r="F194">
        <v>0.437</v>
      </c>
      <c r="G194">
        <v>7.1779999999999999</v>
      </c>
      <c r="H194">
        <v>26.3</v>
      </c>
      <c r="I194">
        <v>6.4798</v>
      </c>
      <c r="J194">
        <v>5</v>
      </c>
      <c r="K194">
        <v>398</v>
      </c>
      <c r="L194">
        <v>15.2</v>
      </c>
      <c r="M194">
        <v>390.49</v>
      </c>
      <c r="N194">
        <v>2.87</v>
      </c>
    </row>
    <row r="195" spans="1:14" x14ac:dyDescent="0.25">
      <c r="A195">
        <v>31.1</v>
      </c>
      <c r="B195">
        <v>2.1870000000000001E-2</v>
      </c>
      <c r="C195">
        <v>60</v>
      </c>
      <c r="D195">
        <v>2.93</v>
      </c>
      <c r="E195">
        <v>0</v>
      </c>
      <c r="F195">
        <v>0.40100000000000002</v>
      </c>
      <c r="G195">
        <v>6.8</v>
      </c>
      <c r="H195">
        <v>9.9</v>
      </c>
      <c r="I195">
        <v>6.2195999999999998</v>
      </c>
      <c r="J195">
        <v>1</v>
      </c>
      <c r="K195">
        <v>265</v>
      </c>
      <c r="L195">
        <v>15.6</v>
      </c>
      <c r="M195">
        <v>393.37</v>
      </c>
      <c r="N195">
        <v>5.03</v>
      </c>
    </row>
    <row r="196" spans="1:14" x14ac:dyDescent="0.25">
      <c r="A196">
        <v>29.1</v>
      </c>
      <c r="B196">
        <v>1.439E-2</v>
      </c>
      <c r="C196">
        <v>60</v>
      </c>
      <c r="D196">
        <v>2.93</v>
      </c>
      <c r="E196">
        <v>0</v>
      </c>
      <c r="F196">
        <v>0.40100000000000002</v>
      </c>
      <c r="G196">
        <v>6.6040000000000001</v>
      </c>
      <c r="H196">
        <v>18.8</v>
      </c>
      <c r="I196">
        <v>6.2195999999999998</v>
      </c>
      <c r="J196">
        <v>1</v>
      </c>
      <c r="K196">
        <v>265</v>
      </c>
      <c r="L196">
        <v>15.6</v>
      </c>
      <c r="M196">
        <v>376.7</v>
      </c>
      <c r="N196">
        <v>4.38</v>
      </c>
    </row>
    <row r="197" spans="1:14" x14ac:dyDescent="0.25">
      <c r="A197">
        <v>50</v>
      </c>
      <c r="B197">
        <v>1.3809999999999999E-2</v>
      </c>
      <c r="C197">
        <v>80</v>
      </c>
      <c r="D197">
        <v>0.46</v>
      </c>
      <c r="E197">
        <v>0</v>
      </c>
      <c r="F197">
        <v>0.42199999999999999</v>
      </c>
      <c r="G197">
        <v>7.875</v>
      </c>
      <c r="H197">
        <v>32</v>
      </c>
      <c r="I197">
        <v>5.6483999999999996</v>
      </c>
      <c r="J197">
        <v>4</v>
      </c>
      <c r="K197">
        <v>255</v>
      </c>
      <c r="L197">
        <v>14.4</v>
      </c>
      <c r="M197">
        <v>394.23</v>
      </c>
      <c r="N197">
        <v>2.97</v>
      </c>
    </row>
    <row r="198" spans="1:14" x14ac:dyDescent="0.25">
      <c r="A198">
        <v>33.299999999999997</v>
      </c>
      <c r="B198">
        <v>4.011E-2</v>
      </c>
      <c r="C198">
        <v>80</v>
      </c>
      <c r="D198">
        <v>1.52</v>
      </c>
      <c r="E198">
        <v>0</v>
      </c>
      <c r="F198">
        <v>0.40400000000000003</v>
      </c>
      <c r="G198">
        <v>7.2869999999999999</v>
      </c>
      <c r="H198">
        <v>34.1</v>
      </c>
      <c r="I198">
        <v>7.3090000000000002</v>
      </c>
      <c r="J198">
        <v>2</v>
      </c>
      <c r="K198">
        <v>329</v>
      </c>
      <c r="L198">
        <v>12.6</v>
      </c>
      <c r="M198">
        <v>396.9</v>
      </c>
      <c r="N198">
        <v>4.08</v>
      </c>
    </row>
    <row r="199" spans="1:14" x14ac:dyDescent="0.25">
      <c r="A199">
        <v>30.3</v>
      </c>
      <c r="B199">
        <v>4.666E-2</v>
      </c>
      <c r="C199">
        <v>80</v>
      </c>
      <c r="D199">
        <v>1.52</v>
      </c>
      <c r="E199">
        <v>0</v>
      </c>
      <c r="F199">
        <v>0.40400000000000003</v>
      </c>
      <c r="G199">
        <v>7.1070000000000002</v>
      </c>
      <c r="H199">
        <v>36.6</v>
      </c>
      <c r="I199">
        <v>7.3090000000000002</v>
      </c>
      <c r="J199">
        <v>2</v>
      </c>
      <c r="K199">
        <v>329</v>
      </c>
      <c r="L199">
        <v>12.6</v>
      </c>
      <c r="M199">
        <v>354.31</v>
      </c>
      <c r="N199">
        <v>8.61</v>
      </c>
    </row>
    <row r="200" spans="1:14" x14ac:dyDescent="0.25">
      <c r="A200">
        <v>34.6</v>
      </c>
      <c r="B200">
        <v>3.7679999999999998E-2</v>
      </c>
      <c r="C200">
        <v>80</v>
      </c>
      <c r="D200">
        <v>1.52</v>
      </c>
      <c r="E200">
        <v>0</v>
      </c>
      <c r="F200">
        <v>0.40400000000000003</v>
      </c>
      <c r="G200">
        <v>7.274</v>
      </c>
      <c r="H200">
        <v>38.299999999999997</v>
      </c>
      <c r="I200">
        <v>7.3090000000000002</v>
      </c>
      <c r="J200">
        <v>2</v>
      </c>
      <c r="K200">
        <v>329</v>
      </c>
      <c r="L200">
        <v>12.6</v>
      </c>
      <c r="M200">
        <v>392.2</v>
      </c>
      <c r="N200">
        <v>6.62</v>
      </c>
    </row>
    <row r="201" spans="1:14" x14ac:dyDescent="0.25">
      <c r="A201">
        <v>34.9</v>
      </c>
      <c r="B201">
        <v>3.15E-2</v>
      </c>
      <c r="C201">
        <v>95</v>
      </c>
      <c r="D201">
        <v>1.47</v>
      </c>
      <c r="E201">
        <v>0</v>
      </c>
      <c r="F201">
        <v>0.40300000000000002</v>
      </c>
      <c r="G201">
        <v>6.9749999999999996</v>
      </c>
      <c r="H201">
        <v>15.3</v>
      </c>
      <c r="I201">
        <v>7.6534000000000004</v>
      </c>
      <c r="J201">
        <v>3</v>
      </c>
      <c r="K201">
        <v>402</v>
      </c>
      <c r="L201">
        <v>17</v>
      </c>
      <c r="M201">
        <v>396.9</v>
      </c>
      <c r="N201">
        <v>4.5599999999999996</v>
      </c>
    </row>
    <row r="202" spans="1:14" x14ac:dyDescent="0.25">
      <c r="A202">
        <v>32.9</v>
      </c>
      <c r="B202">
        <v>1.7780000000000001E-2</v>
      </c>
      <c r="C202">
        <v>95</v>
      </c>
      <c r="D202">
        <v>1.47</v>
      </c>
      <c r="E202">
        <v>0</v>
      </c>
      <c r="F202">
        <v>0.40300000000000002</v>
      </c>
      <c r="G202">
        <v>7.1349999999999998</v>
      </c>
      <c r="H202">
        <v>13.9</v>
      </c>
      <c r="I202">
        <v>7.6534000000000004</v>
      </c>
      <c r="J202">
        <v>3</v>
      </c>
      <c r="K202">
        <v>402</v>
      </c>
      <c r="L202">
        <v>17</v>
      </c>
      <c r="M202">
        <v>384.3</v>
      </c>
      <c r="N202">
        <v>4.45</v>
      </c>
    </row>
    <row r="203" spans="1:14" x14ac:dyDescent="0.25">
      <c r="A203">
        <v>24.1</v>
      </c>
      <c r="B203">
        <v>3.4450000000000001E-2</v>
      </c>
      <c r="C203">
        <v>82.5</v>
      </c>
      <c r="D203">
        <v>2.0299999999999998</v>
      </c>
      <c r="E203">
        <v>0</v>
      </c>
      <c r="F203">
        <v>0.41499999999999998</v>
      </c>
      <c r="G203">
        <v>6.1619999999999999</v>
      </c>
      <c r="H203">
        <v>38.4</v>
      </c>
      <c r="I203">
        <v>6.27</v>
      </c>
      <c r="J203">
        <v>2</v>
      </c>
      <c r="K203">
        <v>348</v>
      </c>
      <c r="L203">
        <v>14.7</v>
      </c>
      <c r="M203">
        <v>393.77</v>
      </c>
      <c r="N203">
        <v>7.43</v>
      </c>
    </row>
    <row r="204" spans="1:14" x14ac:dyDescent="0.25">
      <c r="A204">
        <v>42.3</v>
      </c>
      <c r="B204">
        <v>2.1770000000000001E-2</v>
      </c>
      <c r="C204">
        <v>82.5</v>
      </c>
      <c r="D204">
        <v>2.0299999999999998</v>
      </c>
      <c r="E204">
        <v>0</v>
      </c>
      <c r="F204">
        <v>0.41499999999999998</v>
      </c>
      <c r="G204">
        <v>7.61</v>
      </c>
      <c r="H204">
        <v>15.7</v>
      </c>
      <c r="I204">
        <v>6.27</v>
      </c>
      <c r="J204">
        <v>2</v>
      </c>
      <c r="K204">
        <v>348</v>
      </c>
      <c r="L204">
        <v>14.7</v>
      </c>
      <c r="M204">
        <v>395.38</v>
      </c>
      <c r="N204">
        <v>3.11</v>
      </c>
    </row>
    <row r="205" spans="1:14" x14ac:dyDescent="0.25">
      <c r="A205">
        <v>48.5</v>
      </c>
      <c r="B205">
        <v>3.5099999999999999E-2</v>
      </c>
      <c r="C205">
        <v>95</v>
      </c>
      <c r="D205">
        <v>2.68</v>
      </c>
      <c r="E205">
        <v>0</v>
      </c>
      <c r="F205">
        <v>0.41610000000000003</v>
      </c>
      <c r="G205">
        <v>7.8529999999999998</v>
      </c>
      <c r="H205">
        <v>33.200000000000003</v>
      </c>
      <c r="I205">
        <v>5.1180000000000003</v>
      </c>
      <c r="J205">
        <v>4</v>
      </c>
      <c r="K205">
        <v>224</v>
      </c>
      <c r="L205">
        <v>14.7</v>
      </c>
      <c r="M205">
        <v>392.78</v>
      </c>
      <c r="N205">
        <v>3.81</v>
      </c>
    </row>
    <row r="206" spans="1:14" x14ac:dyDescent="0.25">
      <c r="A206">
        <v>50</v>
      </c>
      <c r="B206">
        <v>2.009E-2</v>
      </c>
      <c r="C206">
        <v>95</v>
      </c>
      <c r="D206">
        <v>2.68</v>
      </c>
      <c r="E206">
        <v>0</v>
      </c>
      <c r="F206">
        <v>0.41610000000000003</v>
      </c>
      <c r="G206">
        <v>8.0340000000000007</v>
      </c>
      <c r="H206">
        <v>31.9</v>
      </c>
      <c r="I206">
        <v>5.1180000000000003</v>
      </c>
      <c r="J206">
        <v>4</v>
      </c>
      <c r="K206">
        <v>224</v>
      </c>
      <c r="L206">
        <v>14.7</v>
      </c>
      <c r="M206">
        <v>390.55</v>
      </c>
      <c r="N206">
        <v>2.88</v>
      </c>
    </row>
    <row r="207" spans="1:14" x14ac:dyDescent="0.25">
      <c r="A207">
        <v>22.6</v>
      </c>
      <c r="B207">
        <v>0.13642000000000001</v>
      </c>
      <c r="C207">
        <v>0</v>
      </c>
      <c r="D207">
        <v>10.59</v>
      </c>
      <c r="E207">
        <v>0</v>
      </c>
      <c r="F207">
        <v>0.48899999999999999</v>
      </c>
      <c r="G207">
        <v>5.891</v>
      </c>
      <c r="H207">
        <v>22.3</v>
      </c>
      <c r="I207">
        <v>3.9453999999999998</v>
      </c>
      <c r="J207">
        <v>4</v>
      </c>
      <c r="K207">
        <v>277</v>
      </c>
      <c r="L207">
        <v>18.600000000000001</v>
      </c>
      <c r="M207">
        <v>396.9</v>
      </c>
      <c r="N207">
        <v>10.87</v>
      </c>
    </row>
    <row r="208" spans="1:14" x14ac:dyDescent="0.25">
      <c r="A208">
        <v>24.4</v>
      </c>
      <c r="B208">
        <v>0.22969000000000001</v>
      </c>
      <c r="C208">
        <v>0</v>
      </c>
      <c r="D208">
        <v>10.59</v>
      </c>
      <c r="E208">
        <v>0</v>
      </c>
      <c r="F208">
        <v>0.48899999999999999</v>
      </c>
      <c r="G208">
        <v>6.3259999999999996</v>
      </c>
      <c r="H208">
        <v>52.5</v>
      </c>
      <c r="I208">
        <v>4.3548999999999998</v>
      </c>
      <c r="J208">
        <v>4</v>
      </c>
      <c r="K208">
        <v>277</v>
      </c>
      <c r="L208">
        <v>18.600000000000001</v>
      </c>
      <c r="M208">
        <v>394.87</v>
      </c>
      <c r="N208">
        <v>10.97</v>
      </c>
    </row>
    <row r="209" spans="1:14" x14ac:dyDescent="0.25">
      <c r="A209">
        <v>22.5</v>
      </c>
      <c r="B209">
        <v>0.25198999999999999</v>
      </c>
      <c r="C209">
        <v>0</v>
      </c>
      <c r="D209">
        <v>10.59</v>
      </c>
      <c r="E209">
        <v>0</v>
      </c>
      <c r="F209">
        <v>0.48899999999999999</v>
      </c>
      <c r="G209">
        <v>5.7830000000000004</v>
      </c>
      <c r="H209">
        <v>72.7</v>
      </c>
      <c r="I209">
        <v>4.3548999999999998</v>
      </c>
      <c r="J209">
        <v>4</v>
      </c>
      <c r="K209">
        <v>277</v>
      </c>
      <c r="L209">
        <v>18.600000000000001</v>
      </c>
      <c r="M209">
        <v>389.43</v>
      </c>
      <c r="N209">
        <v>18.059999999999999</v>
      </c>
    </row>
    <row r="210" spans="1:14" x14ac:dyDescent="0.25">
      <c r="A210">
        <v>24.4</v>
      </c>
      <c r="B210">
        <v>0.13586999999999999</v>
      </c>
      <c r="C210">
        <v>0</v>
      </c>
      <c r="D210">
        <v>10.59</v>
      </c>
      <c r="E210">
        <v>1</v>
      </c>
      <c r="F210">
        <v>0.48899999999999999</v>
      </c>
      <c r="G210">
        <v>6.0640000000000001</v>
      </c>
      <c r="H210">
        <v>59.1</v>
      </c>
      <c r="I210">
        <v>4.2392000000000003</v>
      </c>
      <c r="J210">
        <v>4</v>
      </c>
      <c r="K210">
        <v>277</v>
      </c>
      <c r="L210">
        <v>18.600000000000001</v>
      </c>
      <c r="M210">
        <v>381.32</v>
      </c>
      <c r="N210">
        <v>14.66</v>
      </c>
    </row>
    <row r="211" spans="1:14" x14ac:dyDescent="0.25">
      <c r="A211">
        <v>20</v>
      </c>
      <c r="B211">
        <v>0.43570999999999999</v>
      </c>
      <c r="C211">
        <v>0</v>
      </c>
      <c r="D211">
        <v>10.59</v>
      </c>
      <c r="E211">
        <v>1</v>
      </c>
      <c r="F211">
        <v>0.48899999999999999</v>
      </c>
      <c r="G211">
        <v>5.3440000000000003</v>
      </c>
      <c r="H211">
        <v>100</v>
      </c>
      <c r="I211">
        <v>3.875</v>
      </c>
      <c r="J211">
        <v>4</v>
      </c>
      <c r="K211">
        <v>277</v>
      </c>
      <c r="L211">
        <v>18.600000000000001</v>
      </c>
      <c r="M211">
        <v>396.9</v>
      </c>
      <c r="N211">
        <v>23.09</v>
      </c>
    </row>
    <row r="212" spans="1:14" x14ac:dyDescent="0.25">
      <c r="A212">
        <v>21.7</v>
      </c>
      <c r="B212">
        <v>0.17446</v>
      </c>
      <c r="C212">
        <v>0</v>
      </c>
      <c r="D212">
        <v>10.59</v>
      </c>
      <c r="E212">
        <v>1</v>
      </c>
      <c r="F212">
        <v>0.48899999999999999</v>
      </c>
      <c r="G212">
        <v>5.96</v>
      </c>
      <c r="H212">
        <v>92.1</v>
      </c>
      <c r="I212">
        <v>3.8771</v>
      </c>
      <c r="J212">
        <v>4</v>
      </c>
      <c r="K212">
        <v>277</v>
      </c>
      <c r="L212">
        <v>18.600000000000001</v>
      </c>
      <c r="M212">
        <v>393.25</v>
      </c>
      <c r="N212">
        <v>17.27</v>
      </c>
    </row>
    <row r="213" spans="1:14" x14ac:dyDescent="0.25">
      <c r="A213">
        <v>19.3</v>
      </c>
      <c r="B213">
        <v>0.37578</v>
      </c>
      <c r="C213">
        <v>0</v>
      </c>
      <c r="D213">
        <v>10.59</v>
      </c>
      <c r="E213">
        <v>1</v>
      </c>
      <c r="F213">
        <v>0.48899999999999999</v>
      </c>
      <c r="G213">
        <v>5.4039999999999999</v>
      </c>
      <c r="H213">
        <v>88.6</v>
      </c>
      <c r="I213">
        <v>3.665</v>
      </c>
      <c r="J213">
        <v>4</v>
      </c>
      <c r="K213">
        <v>277</v>
      </c>
      <c r="L213">
        <v>18.600000000000001</v>
      </c>
      <c r="M213">
        <v>395.24</v>
      </c>
      <c r="N213">
        <v>23.98</v>
      </c>
    </row>
    <row r="214" spans="1:14" x14ac:dyDescent="0.25">
      <c r="A214">
        <v>22.4</v>
      </c>
      <c r="B214">
        <v>0.21718999999999999</v>
      </c>
      <c r="C214">
        <v>0</v>
      </c>
      <c r="D214">
        <v>10.59</v>
      </c>
      <c r="E214">
        <v>1</v>
      </c>
      <c r="F214">
        <v>0.48899999999999999</v>
      </c>
      <c r="G214">
        <v>5.8070000000000004</v>
      </c>
      <c r="H214">
        <v>53.8</v>
      </c>
      <c r="I214">
        <v>3.6526000000000001</v>
      </c>
      <c r="J214">
        <v>4</v>
      </c>
      <c r="K214">
        <v>277</v>
      </c>
      <c r="L214">
        <v>18.600000000000001</v>
      </c>
      <c r="M214">
        <v>390.94</v>
      </c>
      <c r="N214">
        <v>16.03</v>
      </c>
    </row>
    <row r="215" spans="1:14" x14ac:dyDescent="0.25">
      <c r="A215">
        <v>28.1</v>
      </c>
      <c r="B215">
        <v>0.14052000000000001</v>
      </c>
      <c r="C215">
        <v>0</v>
      </c>
      <c r="D215">
        <v>10.59</v>
      </c>
      <c r="E215">
        <v>0</v>
      </c>
      <c r="F215">
        <v>0.48899999999999999</v>
      </c>
      <c r="G215">
        <v>6.375</v>
      </c>
      <c r="H215">
        <v>32.299999999999997</v>
      </c>
      <c r="I215">
        <v>3.9453999999999998</v>
      </c>
      <c r="J215">
        <v>4</v>
      </c>
      <c r="K215">
        <v>277</v>
      </c>
      <c r="L215">
        <v>18.600000000000001</v>
      </c>
      <c r="M215">
        <v>385.81</v>
      </c>
      <c r="N215">
        <v>9.3800000000000008</v>
      </c>
    </row>
    <row r="216" spans="1:14" x14ac:dyDescent="0.25">
      <c r="A216">
        <v>23.7</v>
      </c>
      <c r="B216">
        <v>0.28954999999999997</v>
      </c>
      <c r="C216">
        <v>0</v>
      </c>
      <c r="D216">
        <v>10.59</v>
      </c>
      <c r="E216">
        <v>0</v>
      </c>
      <c r="F216">
        <v>0.48899999999999999</v>
      </c>
      <c r="G216">
        <v>5.4119999999999999</v>
      </c>
      <c r="H216">
        <v>9.8000000000000007</v>
      </c>
      <c r="I216">
        <v>3.5874999999999999</v>
      </c>
      <c r="J216">
        <v>4</v>
      </c>
      <c r="K216">
        <v>277</v>
      </c>
      <c r="L216">
        <v>18.600000000000001</v>
      </c>
      <c r="M216">
        <v>348.93</v>
      </c>
      <c r="N216">
        <v>29.55</v>
      </c>
    </row>
    <row r="217" spans="1:14" x14ac:dyDescent="0.25">
      <c r="A217">
        <v>25</v>
      </c>
      <c r="B217">
        <v>0.19802</v>
      </c>
      <c r="C217">
        <v>0</v>
      </c>
      <c r="D217">
        <v>10.59</v>
      </c>
      <c r="E217">
        <v>0</v>
      </c>
      <c r="F217">
        <v>0.48899999999999999</v>
      </c>
      <c r="G217">
        <v>6.1820000000000004</v>
      </c>
      <c r="H217">
        <v>42.4</v>
      </c>
      <c r="I217">
        <v>3.9453999999999998</v>
      </c>
      <c r="J217">
        <v>4</v>
      </c>
      <c r="K217">
        <v>277</v>
      </c>
      <c r="L217">
        <v>18.600000000000001</v>
      </c>
      <c r="M217">
        <v>393.63</v>
      </c>
      <c r="N217">
        <v>9.4700000000000006</v>
      </c>
    </row>
    <row r="218" spans="1:14" x14ac:dyDescent="0.25">
      <c r="A218">
        <v>23.3</v>
      </c>
      <c r="B218">
        <v>4.5600000000000002E-2</v>
      </c>
      <c r="C218">
        <v>0</v>
      </c>
      <c r="D218">
        <v>13.89</v>
      </c>
      <c r="E218">
        <v>1</v>
      </c>
      <c r="F218">
        <v>0.55000000000000004</v>
      </c>
      <c r="G218">
        <v>5.8879999999999999</v>
      </c>
      <c r="H218">
        <v>56</v>
      </c>
      <c r="I218">
        <v>3.1120999999999999</v>
      </c>
      <c r="J218">
        <v>5</v>
      </c>
      <c r="K218">
        <v>276</v>
      </c>
      <c r="L218">
        <v>16.399999999999999</v>
      </c>
      <c r="M218">
        <v>392.8</v>
      </c>
      <c r="N218">
        <v>13.51</v>
      </c>
    </row>
    <row r="219" spans="1:14" x14ac:dyDescent="0.25">
      <c r="A219">
        <v>28.7</v>
      </c>
      <c r="B219">
        <v>7.0129999999999998E-2</v>
      </c>
      <c r="C219">
        <v>0</v>
      </c>
      <c r="D219">
        <v>13.89</v>
      </c>
      <c r="E219">
        <v>0</v>
      </c>
      <c r="F219">
        <v>0.55000000000000004</v>
      </c>
      <c r="G219">
        <v>6.6420000000000003</v>
      </c>
      <c r="H219">
        <v>85.1</v>
      </c>
      <c r="I219">
        <v>3.4211</v>
      </c>
      <c r="J219">
        <v>5</v>
      </c>
      <c r="K219">
        <v>276</v>
      </c>
      <c r="L219">
        <v>16.399999999999999</v>
      </c>
      <c r="M219">
        <v>392.78</v>
      </c>
      <c r="N219">
        <v>9.69</v>
      </c>
    </row>
    <row r="220" spans="1:14" x14ac:dyDescent="0.25">
      <c r="A220">
        <v>21.5</v>
      </c>
      <c r="B220">
        <v>0.11069</v>
      </c>
      <c r="C220">
        <v>0</v>
      </c>
      <c r="D220">
        <v>13.89</v>
      </c>
      <c r="E220">
        <v>1</v>
      </c>
      <c r="F220">
        <v>0.55000000000000004</v>
      </c>
      <c r="G220">
        <v>5.9509999999999996</v>
      </c>
      <c r="H220">
        <v>93.8</v>
      </c>
      <c r="I220">
        <v>2.8893</v>
      </c>
      <c r="J220">
        <v>5</v>
      </c>
      <c r="K220">
        <v>276</v>
      </c>
      <c r="L220">
        <v>16.399999999999999</v>
      </c>
      <c r="M220">
        <v>396.9</v>
      </c>
      <c r="N220">
        <v>17.920000000000002</v>
      </c>
    </row>
    <row r="221" spans="1:14" x14ac:dyDescent="0.25">
      <c r="A221">
        <v>23</v>
      </c>
      <c r="B221">
        <v>0.11425</v>
      </c>
      <c r="C221">
        <v>0</v>
      </c>
      <c r="D221">
        <v>13.89</v>
      </c>
      <c r="E221">
        <v>1</v>
      </c>
      <c r="F221">
        <v>0.55000000000000004</v>
      </c>
      <c r="G221">
        <v>6.3730000000000002</v>
      </c>
      <c r="H221">
        <v>92.4</v>
      </c>
      <c r="I221">
        <v>3.3633000000000002</v>
      </c>
      <c r="J221">
        <v>5</v>
      </c>
      <c r="K221">
        <v>276</v>
      </c>
      <c r="L221">
        <v>16.399999999999999</v>
      </c>
      <c r="M221">
        <v>393.74</v>
      </c>
      <c r="N221">
        <v>10.5</v>
      </c>
    </row>
    <row r="222" spans="1:14" x14ac:dyDescent="0.25">
      <c r="A222">
        <v>26.7</v>
      </c>
      <c r="B222">
        <v>0.35809000000000002</v>
      </c>
      <c r="C222">
        <v>0</v>
      </c>
      <c r="D222">
        <v>6.2</v>
      </c>
      <c r="E222">
        <v>1</v>
      </c>
      <c r="F222">
        <v>0.50700000000000001</v>
      </c>
      <c r="G222">
        <v>6.9509999999999996</v>
      </c>
      <c r="H222">
        <v>88.5</v>
      </c>
      <c r="I222">
        <v>2.8616999999999999</v>
      </c>
      <c r="J222">
        <v>8</v>
      </c>
      <c r="K222">
        <v>307</v>
      </c>
      <c r="L222">
        <v>17.399999999999999</v>
      </c>
      <c r="M222">
        <v>391.7</v>
      </c>
      <c r="N222">
        <v>9.7100000000000009</v>
      </c>
    </row>
    <row r="223" spans="1:14" x14ac:dyDescent="0.25">
      <c r="A223">
        <v>21.7</v>
      </c>
      <c r="B223">
        <v>0.40771000000000002</v>
      </c>
      <c r="C223">
        <v>0</v>
      </c>
      <c r="D223">
        <v>6.2</v>
      </c>
      <c r="E223">
        <v>1</v>
      </c>
      <c r="F223">
        <v>0.50700000000000001</v>
      </c>
      <c r="G223">
        <v>6.1639999999999997</v>
      </c>
      <c r="H223">
        <v>91.3</v>
      </c>
      <c r="I223">
        <v>3.048</v>
      </c>
      <c r="J223">
        <v>8</v>
      </c>
      <c r="K223">
        <v>307</v>
      </c>
      <c r="L223">
        <v>17.399999999999999</v>
      </c>
      <c r="M223">
        <v>395.24</v>
      </c>
      <c r="N223">
        <v>21.46</v>
      </c>
    </row>
    <row r="224" spans="1:14" x14ac:dyDescent="0.25">
      <c r="A224">
        <v>27.5</v>
      </c>
      <c r="B224">
        <v>0.62356</v>
      </c>
      <c r="C224">
        <v>0</v>
      </c>
      <c r="D224">
        <v>6.2</v>
      </c>
      <c r="E224">
        <v>1</v>
      </c>
      <c r="F224">
        <v>0.50700000000000001</v>
      </c>
      <c r="G224">
        <v>6.8789999999999996</v>
      </c>
      <c r="H224">
        <v>77.7</v>
      </c>
      <c r="I224">
        <v>3.2721</v>
      </c>
      <c r="J224">
        <v>8</v>
      </c>
      <c r="K224">
        <v>307</v>
      </c>
      <c r="L224">
        <v>17.399999999999999</v>
      </c>
      <c r="M224">
        <v>390.39</v>
      </c>
      <c r="N224">
        <v>9.93</v>
      </c>
    </row>
    <row r="225" spans="1:14" x14ac:dyDescent="0.25">
      <c r="A225">
        <v>30.1</v>
      </c>
      <c r="B225">
        <v>0.61470000000000002</v>
      </c>
      <c r="C225">
        <v>0</v>
      </c>
      <c r="D225">
        <v>6.2</v>
      </c>
      <c r="E225">
        <v>0</v>
      </c>
      <c r="F225">
        <v>0.50700000000000001</v>
      </c>
      <c r="G225">
        <v>6.6180000000000003</v>
      </c>
      <c r="H225">
        <v>80.8</v>
      </c>
      <c r="I225">
        <v>3.2721</v>
      </c>
      <c r="J225">
        <v>8</v>
      </c>
      <c r="K225">
        <v>307</v>
      </c>
      <c r="L225">
        <v>17.399999999999999</v>
      </c>
      <c r="M225">
        <v>396.9</v>
      </c>
      <c r="N225">
        <v>7.6</v>
      </c>
    </row>
    <row r="226" spans="1:14" x14ac:dyDescent="0.25">
      <c r="A226">
        <v>44.8</v>
      </c>
      <c r="B226">
        <v>0.31533</v>
      </c>
      <c r="C226">
        <v>0</v>
      </c>
      <c r="D226">
        <v>6.2</v>
      </c>
      <c r="E226">
        <v>0</v>
      </c>
      <c r="F226">
        <v>0.504</v>
      </c>
      <c r="G226">
        <v>8.266</v>
      </c>
      <c r="H226">
        <v>78.3</v>
      </c>
      <c r="I226">
        <v>2.8944000000000001</v>
      </c>
      <c r="J226">
        <v>8</v>
      </c>
      <c r="K226">
        <v>307</v>
      </c>
      <c r="L226">
        <v>17.399999999999999</v>
      </c>
      <c r="M226">
        <v>385.05</v>
      </c>
      <c r="N226">
        <v>4.1399999999999997</v>
      </c>
    </row>
    <row r="227" spans="1:14" x14ac:dyDescent="0.25">
      <c r="A227">
        <v>50</v>
      </c>
      <c r="B227">
        <v>0.52693000000000001</v>
      </c>
      <c r="C227">
        <v>0</v>
      </c>
      <c r="D227">
        <v>6.2</v>
      </c>
      <c r="E227">
        <v>0</v>
      </c>
      <c r="F227">
        <v>0.504</v>
      </c>
      <c r="G227">
        <v>8.7249999999999996</v>
      </c>
      <c r="H227">
        <v>83</v>
      </c>
      <c r="I227">
        <v>2.8944000000000001</v>
      </c>
      <c r="J227">
        <v>8</v>
      </c>
      <c r="K227">
        <v>307</v>
      </c>
      <c r="L227">
        <v>17.399999999999999</v>
      </c>
      <c r="M227">
        <v>382</v>
      </c>
      <c r="N227">
        <v>4.63</v>
      </c>
    </row>
    <row r="228" spans="1:14" x14ac:dyDescent="0.25">
      <c r="A228">
        <v>37.6</v>
      </c>
      <c r="B228">
        <v>0.38213999999999998</v>
      </c>
      <c r="C228">
        <v>0</v>
      </c>
      <c r="D228">
        <v>6.2</v>
      </c>
      <c r="E228">
        <v>0</v>
      </c>
      <c r="F228">
        <v>0.504</v>
      </c>
      <c r="G228">
        <v>8.0399999999999991</v>
      </c>
      <c r="H228">
        <v>86.5</v>
      </c>
      <c r="I228">
        <v>3.2157</v>
      </c>
      <c r="J228">
        <v>8</v>
      </c>
      <c r="K228">
        <v>307</v>
      </c>
      <c r="L228">
        <v>17.399999999999999</v>
      </c>
      <c r="M228">
        <v>387.38</v>
      </c>
      <c r="N228">
        <v>3.13</v>
      </c>
    </row>
    <row r="229" spans="1:14" x14ac:dyDescent="0.25">
      <c r="A229">
        <v>31.6</v>
      </c>
      <c r="B229">
        <v>0.41238000000000002</v>
      </c>
      <c r="C229">
        <v>0</v>
      </c>
      <c r="D229">
        <v>6.2</v>
      </c>
      <c r="E229">
        <v>0</v>
      </c>
      <c r="F229">
        <v>0.504</v>
      </c>
      <c r="G229">
        <v>7.1630000000000003</v>
      </c>
      <c r="H229">
        <v>79.900000000000006</v>
      </c>
      <c r="I229">
        <v>3.2157</v>
      </c>
      <c r="J229">
        <v>8</v>
      </c>
      <c r="K229">
        <v>307</v>
      </c>
      <c r="L229">
        <v>17.399999999999999</v>
      </c>
      <c r="M229">
        <v>372.08</v>
      </c>
      <c r="N229">
        <v>6.36</v>
      </c>
    </row>
    <row r="230" spans="1:14" x14ac:dyDescent="0.25">
      <c r="A230">
        <v>46.7</v>
      </c>
      <c r="B230">
        <v>0.29819000000000001</v>
      </c>
      <c r="C230">
        <v>0</v>
      </c>
      <c r="D230">
        <v>6.2</v>
      </c>
      <c r="E230">
        <v>0</v>
      </c>
      <c r="F230">
        <v>0.504</v>
      </c>
      <c r="G230">
        <v>7.6859999999999999</v>
      </c>
      <c r="H230">
        <v>17</v>
      </c>
      <c r="I230">
        <v>3.3751000000000002</v>
      </c>
      <c r="J230">
        <v>8</v>
      </c>
      <c r="K230">
        <v>307</v>
      </c>
      <c r="L230">
        <v>17.399999999999999</v>
      </c>
      <c r="M230">
        <v>377.51</v>
      </c>
      <c r="N230">
        <v>3.92</v>
      </c>
    </row>
    <row r="231" spans="1:14" x14ac:dyDescent="0.25">
      <c r="A231">
        <v>31.5</v>
      </c>
      <c r="B231">
        <v>0.44178000000000001</v>
      </c>
      <c r="C231">
        <v>0</v>
      </c>
      <c r="D231">
        <v>6.2</v>
      </c>
      <c r="E231">
        <v>0</v>
      </c>
      <c r="F231">
        <v>0.504</v>
      </c>
      <c r="G231">
        <v>6.5519999999999996</v>
      </c>
      <c r="H231">
        <v>21.4</v>
      </c>
      <c r="I231">
        <v>3.3751000000000002</v>
      </c>
      <c r="J231">
        <v>8</v>
      </c>
      <c r="K231">
        <v>307</v>
      </c>
      <c r="L231">
        <v>17.399999999999999</v>
      </c>
      <c r="M231">
        <v>380.34</v>
      </c>
      <c r="N231">
        <v>3.76</v>
      </c>
    </row>
    <row r="232" spans="1:14" x14ac:dyDescent="0.25">
      <c r="A232">
        <v>24.3</v>
      </c>
      <c r="B232">
        <v>0.53700000000000003</v>
      </c>
      <c r="C232">
        <v>0</v>
      </c>
      <c r="D232">
        <v>6.2</v>
      </c>
      <c r="E232">
        <v>0</v>
      </c>
      <c r="F232">
        <v>0.504</v>
      </c>
      <c r="G232">
        <v>5.9809999999999999</v>
      </c>
      <c r="H232">
        <v>68.099999999999994</v>
      </c>
      <c r="I232">
        <v>3.6715</v>
      </c>
      <c r="J232">
        <v>8</v>
      </c>
      <c r="K232">
        <v>307</v>
      </c>
      <c r="L232">
        <v>17.399999999999999</v>
      </c>
      <c r="M232">
        <v>378.35</v>
      </c>
      <c r="N232">
        <v>11.65</v>
      </c>
    </row>
    <row r="233" spans="1:14" x14ac:dyDescent="0.25">
      <c r="A233">
        <v>31.7</v>
      </c>
      <c r="B233">
        <v>0.46295999999999998</v>
      </c>
      <c r="C233">
        <v>0</v>
      </c>
      <c r="D233">
        <v>6.2</v>
      </c>
      <c r="E233">
        <v>0</v>
      </c>
      <c r="F233">
        <v>0.504</v>
      </c>
      <c r="G233">
        <v>7.4119999999999999</v>
      </c>
      <c r="H233">
        <v>76.900000000000006</v>
      </c>
      <c r="I233">
        <v>3.6715</v>
      </c>
      <c r="J233">
        <v>8</v>
      </c>
      <c r="K233">
        <v>307</v>
      </c>
      <c r="L233">
        <v>17.399999999999999</v>
      </c>
      <c r="M233">
        <v>376.14</v>
      </c>
      <c r="N233">
        <v>5.25</v>
      </c>
    </row>
    <row r="234" spans="1:14" x14ac:dyDescent="0.25">
      <c r="A234">
        <v>41.7</v>
      </c>
      <c r="B234">
        <v>0.57528999999999997</v>
      </c>
      <c r="C234">
        <v>0</v>
      </c>
      <c r="D234">
        <v>6.2</v>
      </c>
      <c r="E234">
        <v>0</v>
      </c>
      <c r="F234">
        <v>0.50700000000000001</v>
      </c>
      <c r="G234">
        <v>8.3369999999999997</v>
      </c>
      <c r="H234">
        <v>73.3</v>
      </c>
      <c r="I234">
        <v>3.8384</v>
      </c>
      <c r="J234">
        <v>8</v>
      </c>
      <c r="K234">
        <v>307</v>
      </c>
      <c r="L234">
        <v>17.399999999999999</v>
      </c>
      <c r="M234">
        <v>385.91</v>
      </c>
      <c r="N234">
        <v>2.4700000000000002</v>
      </c>
    </row>
    <row r="235" spans="1:14" x14ac:dyDescent="0.25">
      <c r="A235">
        <v>48.3</v>
      </c>
      <c r="B235">
        <v>0.33146999999999999</v>
      </c>
      <c r="C235">
        <v>0</v>
      </c>
      <c r="D235">
        <v>6.2</v>
      </c>
      <c r="E235">
        <v>0</v>
      </c>
      <c r="F235">
        <v>0.50700000000000001</v>
      </c>
      <c r="G235">
        <v>8.2469999999999999</v>
      </c>
      <c r="H235">
        <v>70.400000000000006</v>
      </c>
      <c r="I235">
        <v>3.6518999999999999</v>
      </c>
      <c r="J235">
        <v>8</v>
      </c>
      <c r="K235">
        <v>307</v>
      </c>
      <c r="L235">
        <v>17.399999999999999</v>
      </c>
      <c r="M235">
        <v>378.95</v>
      </c>
      <c r="N235">
        <v>3.95</v>
      </c>
    </row>
    <row r="236" spans="1:14" x14ac:dyDescent="0.25">
      <c r="A236">
        <v>29</v>
      </c>
      <c r="B236">
        <v>0.44790999999999997</v>
      </c>
      <c r="C236">
        <v>0</v>
      </c>
      <c r="D236">
        <v>6.2</v>
      </c>
      <c r="E236">
        <v>1</v>
      </c>
      <c r="F236">
        <v>0.50700000000000001</v>
      </c>
      <c r="G236">
        <v>6.726</v>
      </c>
      <c r="H236">
        <v>66.5</v>
      </c>
      <c r="I236">
        <v>3.6518999999999999</v>
      </c>
      <c r="J236">
        <v>8</v>
      </c>
      <c r="K236">
        <v>307</v>
      </c>
      <c r="L236">
        <v>17.399999999999999</v>
      </c>
      <c r="M236">
        <v>360.2</v>
      </c>
      <c r="N236">
        <v>8.0500000000000007</v>
      </c>
    </row>
    <row r="237" spans="1:14" x14ac:dyDescent="0.25">
      <c r="A237">
        <v>24</v>
      </c>
      <c r="B237">
        <v>0.33045000000000002</v>
      </c>
      <c r="C237">
        <v>0</v>
      </c>
      <c r="D237">
        <v>6.2</v>
      </c>
      <c r="E237">
        <v>0</v>
      </c>
      <c r="F237">
        <v>0.50700000000000001</v>
      </c>
      <c r="G237">
        <v>6.0860000000000003</v>
      </c>
      <c r="H237">
        <v>61.5</v>
      </c>
      <c r="I237">
        <v>3.6518999999999999</v>
      </c>
      <c r="J237">
        <v>8</v>
      </c>
      <c r="K237">
        <v>307</v>
      </c>
      <c r="L237">
        <v>17.399999999999999</v>
      </c>
      <c r="M237">
        <v>376.75</v>
      </c>
      <c r="N237">
        <v>10.88</v>
      </c>
    </row>
    <row r="238" spans="1:14" x14ac:dyDescent="0.25">
      <c r="A238">
        <v>25.1</v>
      </c>
      <c r="B238">
        <v>0.52058000000000004</v>
      </c>
      <c r="C238">
        <v>0</v>
      </c>
      <c r="D238">
        <v>6.2</v>
      </c>
      <c r="E238">
        <v>1</v>
      </c>
      <c r="F238">
        <v>0.50700000000000001</v>
      </c>
      <c r="G238">
        <v>6.6310000000000002</v>
      </c>
      <c r="H238">
        <v>76.5</v>
      </c>
      <c r="I238">
        <v>4.1479999999999997</v>
      </c>
      <c r="J238">
        <v>8</v>
      </c>
      <c r="K238">
        <v>307</v>
      </c>
      <c r="L238">
        <v>17.399999999999999</v>
      </c>
      <c r="M238">
        <v>388.45</v>
      </c>
      <c r="N238">
        <v>9.5399999999999991</v>
      </c>
    </row>
    <row r="239" spans="1:14" x14ac:dyDescent="0.25">
      <c r="A239">
        <v>31.5</v>
      </c>
      <c r="B239">
        <v>0.51183000000000001</v>
      </c>
      <c r="C239">
        <v>0</v>
      </c>
      <c r="D239">
        <v>6.2</v>
      </c>
      <c r="E239">
        <v>0</v>
      </c>
      <c r="F239">
        <v>0.50700000000000001</v>
      </c>
      <c r="G239">
        <v>7.3579999999999997</v>
      </c>
      <c r="H239">
        <v>71.599999999999994</v>
      </c>
      <c r="I239">
        <v>4.1479999999999997</v>
      </c>
      <c r="J239">
        <v>8</v>
      </c>
      <c r="K239">
        <v>307</v>
      </c>
      <c r="L239">
        <v>17.399999999999999</v>
      </c>
      <c r="M239">
        <v>390.07</v>
      </c>
      <c r="N239">
        <v>4.7300000000000004</v>
      </c>
    </row>
    <row r="240" spans="1:14" x14ac:dyDescent="0.25">
      <c r="A240">
        <v>23.7</v>
      </c>
      <c r="B240">
        <v>8.2439999999999999E-2</v>
      </c>
      <c r="C240">
        <v>30</v>
      </c>
      <c r="D240">
        <v>4.93</v>
      </c>
      <c r="E240">
        <v>0</v>
      </c>
      <c r="F240">
        <v>0.42799999999999999</v>
      </c>
      <c r="G240">
        <v>6.4809999999999999</v>
      </c>
      <c r="H240">
        <v>18.5</v>
      </c>
      <c r="I240">
        <v>6.1898999999999997</v>
      </c>
      <c r="J240">
        <v>6</v>
      </c>
      <c r="K240">
        <v>300</v>
      </c>
      <c r="L240">
        <v>16.600000000000001</v>
      </c>
      <c r="M240">
        <v>379.41</v>
      </c>
      <c r="N240">
        <v>6.36</v>
      </c>
    </row>
    <row r="241" spans="1:14" x14ac:dyDescent="0.25">
      <c r="A241">
        <v>23.3</v>
      </c>
      <c r="B241">
        <v>9.2520000000000005E-2</v>
      </c>
      <c r="C241">
        <v>30</v>
      </c>
      <c r="D241">
        <v>4.93</v>
      </c>
      <c r="E241">
        <v>0</v>
      </c>
      <c r="F241">
        <v>0.42799999999999999</v>
      </c>
      <c r="G241">
        <v>6.6059999999999999</v>
      </c>
      <c r="H241">
        <v>42.2</v>
      </c>
      <c r="I241">
        <v>6.1898999999999997</v>
      </c>
      <c r="J241">
        <v>6</v>
      </c>
      <c r="K241">
        <v>300</v>
      </c>
      <c r="L241">
        <v>16.600000000000001</v>
      </c>
      <c r="M241">
        <v>383.78</v>
      </c>
      <c r="N241">
        <v>7.37</v>
      </c>
    </row>
    <row r="242" spans="1:14" x14ac:dyDescent="0.25">
      <c r="A242">
        <v>22</v>
      </c>
      <c r="B242">
        <v>0.11329</v>
      </c>
      <c r="C242">
        <v>30</v>
      </c>
      <c r="D242">
        <v>4.93</v>
      </c>
      <c r="E242">
        <v>0</v>
      </c>
      <c r="F242">
        <v>0.42799999999999999</v>
      </c>
      <c r="G242">
        <v>6.8970000000000002</v>
      </c>
      <c r="H242">
        <v>54.3</v>
      </c>
      <c r="I242">
        <v>6.3361000000000001</v>
      </c>
      <c r="J242">
        <v>6</v>
      </c>
      <c r="K242">
        <v>300</v>
      </c>
      <c r="L242">
        <v>16.600000000000001</v>
      </c>
      <c r="M242">
        <v>391.25</v>
      </c>
      <c r="N242">
        <v>11.38</v>
      </c>
    </row>
    <row r="243" spans="1:14" x14ac:dyDescent="0.25">
      <c r="A243">
        <v>20.100000000000001</v>
      </c>
      <c r="B243">
        <v>0.10612000000000001</v>
      </c>
      <c r="C243">
        <v>30</v>
      </c>
      <c r="D243">
        <v>4.93</v>
      </c>
      <c r="E243">
        <v>0</v>
      </c>
      <c r="F243">
        <v>0.42799999999999999</v>
      </c>
      <c r="G243">
        <v>6.0949999999999998</v>
      </c>
      <c r="H243">
        <v>65.099999999999994</v>
      </c>
      <c r="I243">
        <v>6.3361000000000001</v>
      </c>
      <c r="J243">
        <v>6</v>
      </c>
      <c r="K243">
        <v>300</v>
      </c>
      <c r="L243">
        <v>16.600000000000001</v>
      </c>
      <c r="M243">
        <v>394.62</v>
      </c>
      <c r="N243">
        <v>12.4</v>
      </c>
    </row>
    <row r="244" spans="1:14" x14ac:dyDescent="0.25">
      <c r="A244">
        <v>22.2</v>
      </c>
      <c r="B244">
        <v>0.10290000000000001</v>
      </c>
      <c r="C244">
        <v>30</v>
      </c>
      <c r="D244">
        <v>4.93</v>
      </c>
      <c r="E244">
        <v>0</v>
      </c>
      <c r="F244">
        <v>0.42799999999999999</v>
      </c>
      <c r="G244">
        <v>6.3579999999999997</v>
      </c>
      <c r="H244">
        <v>52.9</v>
      </c>
      <c r="I244">
        <v>7.0354999999999999</v>
      </c>
      <c r="J244">
        <v>6</v>
      </c>
      <c r="K244">
        <v>300</v>
      </c>
      <c r="L244">
        <v>16.600000000000001</v>
      </c>
      <c r="M244">
        <v>372.75</v>
      </c>
      <c r="N244">
        <v>11.22</v>
      </c>
    </row>
    <row r="245" spans="1:14" x14ac:dyDescent="0.25">
      <c r="A245">
        <v>23.7</v>
      </c>
      <c r="B245">
        <v>0.12756999999999999</v>
      </c>
      <c r="C245">
        <v>30</v>
      </c>
      <c r="D245">
        <v>4.93</v>
      </c>
      <c r="E245">
        <v>0</v>
      </c>
      <c r="F245">
        <v>0.42799999999999999</v>
      </c>
      <c r="G245">
        <v>6.3929999999999998</v>
      </c>
      <c r="H245">
        <v>7.8</v>
      </c>
      <c r="I245">
        <v>7.0354999999999999</v>
      </c>
      <c r="J245">
        <v>6</v>
      </c>
      <c r="K245">
        <v>300</v>
      </c>
      <c r="L245">
        <v>16.600000000000001</v>
      </c>
      <c r="M245">
        <v>374.71</v>
      </c>
      <c r="N245">
        <v>5.19</v>
      </c>
    </row>
    <row r="246" spans="1:14" x14ac:dyDescent="0.25">
      <c r="A246">
        <v>17.600000000000001</v>
      </c>
      <c r="B246">
        <v>0.20608000000000001</v>
      </c>
      <c r="C246">
        <v>22</v>
      </c>
      <c r="D246">
        <v>5.86</v>
      </c>
      <c r="E246">
        <v>0</v>
      </c>
      <c r="F246">
        <v>0.43099999999999999</v>
      </c>
      <c r="G246">
        <v>5.593</v>
      </c>
      <c r="H246">
        <v>76.5</v>
      </c>
      <c r="I246">
        <v>7.9549000000000003</v>
      </c>
      <c r="J246">
        <v>7</v>
      </c>
      <c r="K246">
        <v>330</v>
      </c>
      <c r="L246">
        <v>19.100000000000001</v>
      </c>
      <c r="M246">
        <v>372.49</v>
      </c>
      <c r="N246">
        <v>12.5</v>
      </c>
    </row>
    <row r="247" spans="1:14" x14ac:dyDescent="0.25">
      <c r="A247">
        <v>18.5</v>
      </c>
      <c r="B247">
        <v>0.19133</v>
      </c>
      <c r="C247">
        <v>22</v>
      </c>
      <c r="D247">
        <v>5.86</v>
      </c>
      <c r="E247">
        <v>0</v>
      </c>
      <c r="F247">
        <v>0.43099999999999999</v>
      </c>
      <c r="G247">
        <v>5.6050000000000004</v>
      </c>
      <c r="H247">
        <v>70.2</v>
      </c>
      <c r="I247">
        <v>7.9549000000000003</v>
      </c>
      <c r="J247">
        <v>7</v>
      </c>
      <c r="K247">
        <v>330</v>
      </c>
      <c r="L247">
        <v>19.100000000000001</v>
      </c>
      <c r="M247">
        <v>389.13</v>
      </c>
      <c r="N247">
        <v>18.46</v>
      </c>
    </row>
    <row r="248" spans="1:14" x14ac:dyDescent="0.25">
      <c r="A248">
        <v>24.3</v>
      </c>
      <c r="B248">
        <v>0.33983000000000002</v>
      </c>
      <c r="C248">
        <v>22</v>
      </c>
      <c r="D248">
        <v>5.86</v>
      </c>
      <c r="E248">
        <v>0</v>
      </c>
      <c r="F248">
        <v>0.43099999999999999</v>
      </c>
      <c r="G248">
        <v>6.1079999999999997</v>
      </c>
      <c r="H248">
        <v>34.9</v>
      </c>
      <c r="I248">
        <v>8.0555000000000003</v>
      </c>
      <c r="J248">
        <v>7</v>
      </c>
      <c r="K248">
        <v>330</v>
      </c>
      <c r="L248">
        <v>19.100000000000001</v>
      </c>
      <c r="M248">
        <v>390.18</v>
      </c>
      <c r="N248">
        <v>9.16</v>
      </c>
    </row>
    <row r="249" spans="1:14" x14ac:dyDescent="0.25">
      <c r="A249">
        <v>20.5</v>
      </c>
      <c r="B249">
        <v>0.19656999999999999</v>
      </c>
      <c r="C249">
        <v>22</v>
      </c>
      <c r="D249">
        <v>5.86</v>
      </c>
      <c r="E249">
        <v>0</v>
      </c>
      <c r="F249">
        <v>0.43099999999999999</v>
      </c>
      <c r="G249">
        <v>6.226</v>
      </c>
      <c r="H249">
        <v>79.2</v>
      </c>
      <c r="I249">
        <v>8.0555000000000003</v>
      </c>
      <c r="J249">
        <v>7</v>
      </c>
      <c r="K249">
        <v>330</v>
      </c>
      <c r="L249">
        <v>19.100000000000001</v>
      </c>
      <c r="M249">
        <v>376.14</v>
      </c>
      <c r="N249">
        <v>10.15</v>
      </c>
    </row>
    <row r="250" spans="1:14" x14ac:dyDescent="0.25">
      <c r="A250">
        <v>24.5</v>
      </c>
      <c r="B250">
        <v>0.16439000000000001</v>
      </c>
      <c r="C250">
        <v>22</v>
      </c>
      <c r="D250">
        <v>5.86</v>
      </c>
      <c r="E250">
        <v>0</v>
      </c>
      <c r="F250">
        <v>0.43099999999999999</v>
      </c>
      <c r="G250">
        <v>6.4329999999999998</v>
      </c>
      <c r="H250">
        <v>49.1</v>
      </c>
      <c r="I250">
        <v>7.8265000000000002</v>
      </c>
      <c r="J250">
        <v>7</v>
      </c>
      <c r="K250">
        <v>330</v>
      </c>
      <c r="L250">
        <v>19.100000000000001</v>
      </c>
      <c r="M250">
        <v>374.71</v>
      </c>
      <c r="N250">
        <v>9.52</v>
      </c>
    </row>
    <row r="251" spans="1:14" x14ac:dyDescent="0.25">
      <c r="A251">
        <v>26.2</v>
      </c>
      <c r="B251">
        <v>0.19073000000000001</v>
      </c>
      <c r="C251">
        <v>22</v>
      </c>
      <c r="D251">
        <v>5.86</v>
      </c>
      <c r="E251">
        <v>0</v>
      </c>
      <c r="F251">
        <v>0.43099999999999999</v>
      </c>
      <c r="G251">
        <v>6.718</v>
      </c>
      <c r="H251">
        <v>17.5</v>
      </c>
      <c r="I251">
        <v>7.8265000000000002</v>
      </c>
      <c r="J251">
        <v>7</v>
      </c>
      <c r="K251">
        <v>330</v>
      </c>
      <c r="L251">
        <v>19.100000000000001</v>
      </c>
      <c r="M251">
        <v>393.74</v>
      </c>
      <c r="N251">
        <v>6.56</v>
      </c>
    </row>
    <row r="252" spans="1:14" x14ac:dyDescent="0.25">
      <c r="A252">
        <v>24.4</v>
      </c>
      <c r="B252">
        <v>0.14030000000000001</v>
      </c>
      <c r="C252">
        <v>22</v>
      </c>
      <c r="D252">
        <v>5.86</v>
      </c>
      <c r="E252">
        <v>0</v>
      </c>
      <c r="F252">
        <v>0.43099999999999999</v>
      </c>
      <c r="G252">
        <v>6.4870000000000001</v>
      </c>
      <c r="H252">
        <v>13</v>
      </c>
      <c r="I252">
        <v>7.3967000000000001</v>
      </c>
      <c r="J252">
        <v>7</v>
      </c>
      <c r="K252">
        <v>330</v>
      </c>
      <c r="L252">
        <v>19.100000000000001</v>
      </c>
      <c r="M252">
        <v>396.28</v>
      </c>
      <c r="N252">
        <v>5.9</v>
      </c>
    </row>
    <row r="253" spans="1:14" x14ac:dyDescent="0.25">
      <c r="A253">
        <v>24.8</v>
      </c>
      <c r="B253">
        <v>0.21409</v>
      </c>
      <c r="C253">
        <v>22</v>
      </c>
      <c r="D253">
        <v>5.86</v>
      </c>
      <c r="E253">
        <v>0</v>
      </c>
      <c r="F253">
        <v>0.43099999999999999</v>
      </c>
      <c r="G253">
        <v>6.4379999999999997</v>
      </c>
      <c r="H253">
        <v>8.9</v>
      </c>
      <c r="I253">
        <v>7.3967000000000001</v>
      </c>
      <c r="J253">
        <v>7</v>
      </c>
      <c r="K253">
        <v>330</v>
      </c>
      <c r="L253">
        <v>19.100000000000001</v>
      </c>
      <c r="M253">
        <v>377.07</v>
      </c>
      <c r="N253">
        <v>3.59</v>
      </c>
    </row>
    <row r="254" spans="1:14" x14ac:dyDescent="0.25">
      <c r="A254">
        <v>29.6</v>
      </c>
      <c r="B254">
        <v>8.2210000000000005E-2</v>
      </c>
      <c r="C254">
        <v>22</v>
      </c>
      <c r="D254">
        <v>5.86</v>
      </c>
      <c r="E254">
        <v>0</v>
      </c>
      <c r="F254">
        <v>0.43099999999999999</v>
      </c>
      <c r="G254">
        <v>6.9569999999999999</v>
      </c>
      <c r="H254">
        <v>6.8</v>
      </c>
      <c r="I254">
        <v>8.9067000000000007</v>
      </c>
      <c r="J254">
        <v>7</v>
      </c>
      <c r="K254">
        <v>330</v>
      </c>
      <c r="L254">
        <v>19.100000000000001</v>
      </c>
      <c r="M254">
        <v>386.09</v>
      </c>
      <c r="N254">
        <v>3.53</v>
      </c>
    </row>
    <row r="255" spans="1:14" x14ac:dyDescent="0.25">
      <c r="A255">
        <v>42.8</v>
      </c>
      <c r="B255">
        <v>0.36893999999999999</v>
      </c>
      <c r="C255">
        <v>22</v>
      </c>
      <c r="D255">
        <v>5.86</v>
      </c>
      <c r="E255">
        <v>0</v>
      </c>
      <c r="F255">
        <v>0.43099999999999999</v>
      </c>
      <c r="G255">
        <v>8.2590000000000003</v>
      </c>
      <c r="H255">
        <v>8.4</v>
      </c>
      <c r="I255">
        <v>8.9067000000000007</v>
      </c>
      <c r="J255">
        <v>7</v>
      </c>
      <c r="K255">
        <v>330</v>
      </c>
      <c r="L255">
        <v>19.100000000000001</v>
      </c>
      <c r="M255">
        <v>396.9</v>
      </c>
      <c r="N255">
        <v>3.54</v>
      </c>
    </row>
    <row r="256" spans="1:14" x14ac:dyDescent="0.25">
      <c r="A256">
        <v>21.9</v>
      </c>
      <c r="B256">
        <v>4.8189999999999997E-2</v>
      </c>
      <c r="C256">
        <v>80</v>
      </c>
      <c r="D256">
        <v>3.64</v>
      </c>
      <c r="E256">
        <v>0</v>
      </c>
      <c r="F256">
        <v>0.39200000000000002</v>
      </c>
      <c r="G256">
        <v>6.1079999999999997</v>
      </c>
      <c r="H256">
        <v>32</v>
      </c>
      <c r="I256">
        <v>9.2202999999999999</v>
      </c>
      <c r="J256">
        <v>1</v>
      </c>
      <c r="K256">
        <v>315</v>
      </c>
      <c r="L256">
        <v>16.399999999999999</v>
      </c>
      <c r="M256">
        <v>392.89</v>
      </c>
      <c r="N256">
        <v>6.57</v>
      </c>
    </row>
    <row r="257" spans="1:14" x14ac:dyDescent="0.25">
      <c r="A257">
        <v>20.9</v>
      </c>
      <c r="B257">
        <v>3.5479999999999998E-2</v>
      </c>
      <c r="C257">
        <v>80</v>
      </c>
      <c r="D257">
        <v>3.64</v>
      </c>
      <c r="E257">
        <v>0</v>
      </c>
      <c r="F257">
        <v>0.39200000000000002</v>
      </c>
      <c r="G257">
        <v>5.8760000000000003</v>
      </c>
      <c r="H257">
        <v>19.100000000000001</v>
      </c>
      <c r="I257">
        <v>9.2202999999999999</v>
      </c>
      <c r="J257">
        <v>1</v>
      </c>
      <c r="K257">
        <v>315</v>
      </c>
      <c r="L257">
        <v>16.399999999999999</v>
      </c>
      <c r="M257">
        <v>395.18</v>
      </c>
      <c r="N257">
        <v>9.25</v>
      </c>
    </row>
    <row r="258" spans="1:14" x14ac:dyDescent="0.25">
      <c r="A258">
        <v>44</v>
      </c>
      <c r="B258">
        <v>1.538E-2</v>
      </c>
      <c r="C258">
        <v>90</v>
      </c>
      <c r="D258">
        <v>3.75</v>
      </c>
      <c r="E258">
        <v>0</v>
      </c>
      <c r="F258">
        <v>0.39400000000000002</v>
      </c>
      <c r="G258">
        <v>7.4539999999999997</v>
      </c>
      <c r="H258">
        <v>34.200000000000003</v>
      </c>
      <c r="I258">
        <v>6.3361000000000001</v>
      </c>
      <c r="J258">
        <v>3</v>
      </c>
      <c r="K258">
        <v>244</v>
      </c>
      <c r="L258">
        <v>15.9</v>
      </c>
      <c r="M258">
        <v>386.34</v>
      </c>
      <c r="N258">
        <v>3.11</v>
      </c>
    </row>
    <row r="259" spans="1:14" x14ac:dyDescent="0.25">
      <c r="A259">
        <v>50</v>
      </c>
      <c r="B259">
        <v>0.61153999999999997</v>
      </c>
      <c r="C259">
        <v>20</v>
      </c>
      <c r="D259">
        <v>3.97</v>
      </c>
      <c r="E259">
        <v>0</v>
      </c>
      <c r="F259">
        <v>0.64700000000000002</v>
      </c>
      <c r="G259">
        <v>8.7040000000000006</v>
      </c>
      <c r="H259">
        <v>86.9</v>
      </c>
      <c r="I259">
        <v>1.8009999999999999</v>
      </c>
      <c r="J259">
        <v>5</v>
      </c>
      <c r="K259">
        <v>264</v>
      </c>
      <c r="L259">
        <v>13</v>
      </c>
      <c r="M259">
        <v>389.7</v>
      </c>
      <c r="N259">
        <v>5.12</v>
      </c>
    </row>
    <row r="260" spans="1:14" x14ac:dyDescent="0.25">
      <c r="A260">
        <v>36</v>
      </c>
      <c r="B260">
        <v>0.66351000000000004</v>
      </c>
      <c r="C260">
        <v>20</v>
      </c>
      <c r="D260">
        <v>3.97</v>
      </c>
      <c r="E260">
        <v>0</v>
      </c>
      <c r="F260">
        <v>0.64700000000000002</v>
      </c>
      <c r="G260">
        <v>7.3330000000000002</v>
      </c>
      <c r="H260">
        <v>100</v>
      </c>
      <c r="I260">
        <v>1.8946000000000001</v>
      </c>
      <c r="J260">
        <v>5</v>
      </c>
      <c r="K260">
        <v>264</v>
      </c>
      <c r="L260">
        <v>13</v>
      </c>
      <c r="M260">
        <v>383.29</v>
      </c>
      <c r="N260">
        <v>7.79</v>
      </c>
    </row>
    <row r="261" spans="1:14" x14ac:dyDescent="0.25">
      <c r="A261">
        <v>30.1</v>
      </c>
      <c r="B261">
        <v>0.65664999999999996</v>
      </c>
      <c r="C261">
        <v>20</v>
      </c>
      <c r="D261">
        <v>3.97</v>
      </c>
      <c r="E261">
        <v>0</v>
      </c>
      <c r="F261">
        <v>0.64700000000000002</v>
      </c>
      <c r="G261">
        <v>6.8419999999999996</v>
      </c>
      <c r="H261">
        <v>100</v>
      </c>
      <c r="I261">
        <v>2.0106999999999999</v>
      </c>
      <c r="J261">
        <v>5</v>
      </c>
      <c r="K261">
        <v>264</v>
      </c>
      <c r="L261">
        <v>13</v>
      </c>
      <c r="M261">
        <v>391.93</v>
      </c>
      <c r="N261">
        <v>6.9</v>
      </c>
    </row>
    <row r="262" spans="1:14" x14ac:dyDescent="0.25">
      <c r="A262">
        <v>33.799999999999997</v>
      </c>
      <c r="B262">
        <v>0.54010999999999998</v>
      </c>
      <c r="C262">
        <v>20</v>
      </c>
      <c r="D262">
        <v>3.97</v>
      </c>
      <c r="E262">
        <v>0</v>
      </c>
      <c r="F262">
        <v>0.64700000000000002</v>
      </c>
      <c r="G262">
        <v>7.2030000000000003</v>
      </c>
      <c r="H262">
        <v>81.8</v>
      </c>
      <c r="I262">
        <v>2.1120999999999999</v>
      </c>
      <c r="J262">
        <v>5</v>
      </c>
      <c r="K262">
        <v>264</v>
      </c>
      <c r="L262">
        <v>13</v>
      </c>
      <c r="M262">
        <v>392.8</v>
      </c>
      <c r="N262">
        <v>9.59</v>
      </c>
    </row>
    <row r="263" spans="1:14" x14ac:dyDescent="0.25">
      <c r="A263">
        <v>43.1</v>
      </c>
      <c r="B263">
        <v>0.53412000000000004</v>
      </c>
      <c r="C263">
        <v>20</v>
      </c>
      <c r="D263">
        <v>3.97</v>
      </c>
      <c r="E263">
        <v>0</v>
      </c>
      <c r="F263">
        <v>0.64700000000000002</v>
      </c>
      <c r="G263">
        <v>7.52</v>
      </c>
      <c r="H263">
        <v>89.4</v>
      </c>
      <c r="I263">
        <v>2.1398000000000001</v>
      </c>
      <c r="J263">
        <v>5</v>
      </c>
      <c r="K263">
        <v>264</v>
      </c>
      <c r="L263">
        <v>13</v>
      </c>
      <c r="M263">
        <v>388.37</v>
      </c>
      <c r="N263">
        <v>7.26</v>
      </c>
    </row>
    <row r="264" spans="1:14" x14ac:dyDescent="0.25">
      <c r="A264">
        <v>48.8</v>
      </c>
      <c r="B264">
        <v>0.52014000000000005</v>
      </c>
      <c r="C264">
        <v>20</v>
      </c>
      <c r="D264">
        <v>3.97</v>
      </c>
      <c r="E264">
        <v>0</v>
      </c>
      <c r="F264">
        <v>0.64700000000000002</v>
      </c>
      <c r="G264">
        <v>8.3979999999999997</v>
      </c>
      <c r="H264">
        <v>91.5</v>
      </c>
      <c r="I264">
        <v>2.2885</v>
      </c>
      <c r="J264">
        <v>5</v>
      </c>
      <c r="K264">
        <v>264</v>
      </c>
      <c r="L264">
        <v>13</v>
      </c>
      <c r="M264">
        <v>386.86</v>
      </c>
      <c r="N264">
        <v>5.91</v>
      </c>
    </row>
    <row r="265" spans="1:14" x14ac:dyDescent="0.25">
      <c r="A265">
        <v>31</v>
      </c>
      <c r="B265">
        <v>0.82525999999999999</v>
      </c>
      <c r="C265">
        <v>20</v>
      </c>
      <c r="D265">
        <v>3.97</v>
      </c>
      <c r="E265">
        <v>0</v>
      </c>
      <c r="F265">
        <v>0.64700000000000002</v>
      </c>
      <c r="G265">
        <v>7.327</v>
      </c>
      <c r="H265">
        <v>94.5</v>
      </c>
      <c r="I265">
        <v>2.0788000000000002</v>
      </c>
      <c r="J265">
        <v>5</v>
      </c>
      <c r="K265">
        <v>264</v>
      </c>
      <c r="L265">
        <v>13</v>
      </c>
      <c r="M265">
        <v>393.42</v>
      </c>
      <c r="N265">
        <v>11.25</v>
      </c>
    </row>
    <row r="266" spans="1:14" x14ac:dyDescent="0.25">
      <c r="A266">
        <v>36.5</v>
      </c>
      <c r="B266">
        <v>0.55006999999999995</v>
      </c>
      <c r="C266">
        <v>20</v>
      </c>
      <c r="D266">
        <v>3.97</v>
      </c>
      <c r="E266">
        <v>0</v>
      </c>
      <c r="F266">
        <v>0.64700000000000002</v>
      </c>
      <c r="G266">
        <v>7.2060000000000004</v>
      </c>
      <c r="H266">
        <v>91.6</v>
      </c>
      <c r="I266">
        <v>1.9300999999999999</v>
      </c>
      <c r="J266">
        <v>5</v>
      </c>
      <c r="K266">
        <v>264</v>
      </c>
      <c r="L266">
        <v>13</v>
      </c>
      <c r="M266">
        <v>387.89</v>
      </c>
      <c r="N266">
        <v>8.1</v>
      </c>
    </row>
    <row r="267" spans="1:14" x14ac:dyDescent="0.25">
      <c r="A267">
        <v>22.8</v>
      </c>
      <c r="B267">
        <v>0.76161999999999996</v>
      </c>
      <c r="C267">
        <v>20</v>
      </c>
      <c r="D267">
        <v>3.97</v>
      </c>
      <c r="E267">
        <v>0</v>
      </c>
      <c r="F267">
        <v>0.64700000000000002</v>
      </c>
      <c r="G267">
        <v>5.56</v>
      </c>
      <c r="H267">
        <v>62.8</v>
      </c>
      <c r="I267">
        <v>1.9864999999999999</v>
      </c>
      <c r="J267">
        <v>5</v>
      </c>
      <c r="K267">
        <v>264</v>
      </c>
      <c r="L267">
        <v>13</v>
      </c>
      <c r="M267">
        <v>392.4</v>
      </c>
      <c r="N267">
        <v>10.45</v>
      </c>
    </row>
    <row r="268" spans="1:14" x14ac:dyDescent="0.25">
      <c r="A268">
        <v>30.7</v>
      </c>
      <c r="B268">
        <v>0.78569999999999995</v>
      </c>
      <c r="C268">
        <v>20</v>
      </c>
      <c r="D268">
        <v>3.97</v>
      </c>
      <c r="E268">
        <v>0</v>
      </c>
      <c r="F268">
        <v>0.64700000000000002</v>
      </c>
      <c r="G268">
        <v>7.0140000000000002</v>
      </c>
      <c r="H268">
        <v>84.6</v>
      </c>
      <c r="I268">
        <v>2.1328999999999998</v>
      </c>
      <c r="J268">
        <v>5</v>
      </c>
      <c r="K268">
        <v>264</v>
      </c>
      <c r="L268">
        <v>13</v>
      </c>
      <c r="M268">
        <v>384.07</v>
      </c>
      <c r="N268">
        <v>14.79</v>
      </c>
    </row>
    <row r="269" spans="1:14" x14ac:dyDescent="0.25">
      <c r="A269">
        <v>50</v>
      </c>
      <c r="B269">
        <v>0.57833999999999997</v>
      </c>
      <c r="C269">
        <v>20</v>
      </c>
      <c r="D269">
        <v>3.97</v>
      </c>
      <c r="E269">
        <v>0</v>
      </c>
      <c r="F269">
        <v>0.57499999999999996</v>
      </c>
      <c r="G269">
        <v>8.2970000000000006</v>
      </c>
      <c r="H269">
        <v>67</v>
      </c>
      <c r="I269">
        <v>2.4216000000000002</v>
      </c>
      <c r="J269">
        <v>5</v>
      </c>
      <c r="K269">
        <v>264</v>
      </c>
      <c r="L269">
        <v>13</v>
      </c>
      <c r="M269">
        <v>384.54</v>
      </c>
      <c r="N269">
        <v>7.44</v>
      </c>
    </row>
    <row r="270" spans="1:14" x14ac:dyDescent="0.25">
      <c r="A270">
        <v>43.5</v>
      </c>
      <c r="B270">
        <v>0.54049999999999998</v>
      </c>
      <c r="C270">
        <v>20</v>
      </c>
      <c r="D270">
        <v>3.97</v>
      </c>
      <c r="E270">
        <v>0</v>
      </c>
      <c r="F270">
        <v>0.57499999999999996</v>
      </c>
      <c r="G270">
        <v>7.47</v>
      </c>
      <c r="H270">
        <v>52.6</v>
      </c>
      <c r="I270">
        <v>2.8719999999999999</v>
      </c>
      <c r="J270">
        <v>5</v>
      </c>
      <c r="K270">
        <v>264</v>
      </c>
      <c r="L270">
        <v>13</v>
      </c>
      <c r="M270">
        <v>390.3</v>
      </c>
      <c r="N270">
        <v>3.16</v>
      </c>
    </row>
    <row r="271" spans="1:14" x14ac:dyDescent="0.25">
      <c r="A271">
        <v>20.7</v>
      </c>
      <c r="B271">
        <v>9.0649999999999994E-2</v>
      </c>
      <c r="C271">
        <v>20</v>
      </c>
      <c r="D271">
        <v>6.96</v>
      </c>
      <c r="E271">
        <v>1</v>
      </c>
      <c r="F271">
        <v>0.46400000000000002</v>
      </c>
      <c r="G271">
        <v>5.92</v>
      </c>
      <c r="H271">
        <v>61.5</v>
      </c>
      <c r="I271">
        <v>3.9175</v>
      </c>
      <c r="J271">
        <v>3</v>
      </c>
      <c r="K271">
        <v>223</v>
      </c>
      <c r="L271">
        <v>18.600000000000001</v>
      </c>
      <c r="M271">
        <v>391.34</v>
      </c>
      <c r="N271">
        <v>13.65</v>
      </c>
    </row>
    <row r="272" spans="1:14" x14ac:dyDescent="0.25">
      <c r="A272">
        <v>21.1</v>
      </c>
      <c r="B272">
        <v>0.29915999999999998</v>
      </c>
      <c r="C272">
        <v>20</v>
      </c>
      <c r="D272">
        <v>6.96</v>
      </c>
      <c r="E272">
        <v>0</v>
      </c>
      <c r="F272">
        <v>0.46400000000000002</v>
      </c>
      <c r="G272">
        <v>5.8559999999999999</v>
      </c>
      <c r="H272">
        <v>42.1</v>
      </c>
      <c r="I272">
        <v>4.4290000000000003</v>
      </c>
      <c r="J272">
        <v>3</v>
      </c>
      <c r="K272">
        <v>223</v>
      </c>
      <c r="L272">
        <v>18.600000000000001</v>
      </c>
      <c r="M272">
        <v>388.65</v>
      </c>
      <c r="N272">
        <v>13</v>
      </c>
    </row>
    <row r="273" spans="1:14" x14ac:dyDescent="0.25">
      <c r="A273">
        <v>25.2</v>
      </c>
      <c r="B273">
        <v>0.16211</v>
      </c>
      <c r="C273">
        <v>20</v>
      </c>
      <c r="D273">
        <v>6.96</v>
      </c>
      <c r="E273">
        <v>0</v>
      </c>
      <c r="F273">
        <v>0.46400000000000002</v>
      </c>
      <c r="G273">
        <v>6.24</v>
      </c>
      <c r="H273">
        <v>16.3</v>
      </c>
      <c r="I273">
        <v>4.4290000000000003</v>
      </c>
      <c r="J273">
        <v>3</v>
      </c>
      <c r="K273">
        <v>223</v>
      </c>
      <c r="L273">
        <v>18.600000000000001</v>
      </c>
      <c r="M273">
        <v>396.9</v>
      </c>
      <c r="N273">
        <v>6.59</v>
      </c>
    </row>
    <row r="274" spans="1:14" x14ac:dyDescent="0.25">
      <c r="A274">
        <v>24.4</v>
      </c>
      <c r="B274">
        <v>0.11459999999999999</v>
      </c>
      <c r="C274">
        <v>20</v>
      </c>
      <c r="D274">
        <v>6.96</v>
      </c>
      <c r="E274">
        <v>0</v>
      </c>
      <c r="F274">
        <v>0.46400000000000002</v>
      </c>
      <c r="G274">
        <v>6.5380000000000003</v>
      </c>
      <c r="H274">
        <v>58.7</v>
      </c>
      <c r="I274">
        <v>3.9175</v>
      </c>
      <c r="J274">
        <v>3</v>
      </c>
      <c r="K274">
        <v>223</v>
      </c>
      <c r="L274">
        <v>18.600000000000001</v>
      </c>
      <c r="M274">
        <v>394.96</v>
      </c>
      <c r="N274">
        <v>7.73</v>
      </c>
    </row>
    <row r="275" spans="1:14" x14ac:dyDescent="0.25">
      <c r="A275">
        <v>35.200000000000003</v>
      </c>
      <c r="B275">
        <v>0.22187999999999999</v>
      </c>
      <c r="C275">
        <v>20</v>
      </c>
      <c r="D275">
        <v>6.96</v>
      </c>
      <c r="E275">
        <v>1</v>
      </c>
      <c r="F275">
        <v>0.46400000000000002</v>
      </c>
      <c r="G275">
        <v>7.6909999999999998</v>
      </c>
      <c r="H275">
        <v>51.8</v>
      </c>
      <c r="I275">
        <v>4.3665000000000003</v>
      </c>
      <c r="J275">
        <v>3</v>
      </c>
      <c r="K275">
        <v>223</v>
      </c>
      <c r="L275">
        <v>18.600000000000001</v>
      </c>
      <c r="M275">
        <v>390.77</v>
      </c>
      <c r="N275">
        <v>6.58</v>
      </c>
    </row>
    <row r="276" spans="1:14" x14ac:dyDescent="0.25">
      <c r="A276">
        <v>32.4</v>
      </c>
      <c r="B276">
        <v>5.6439999999999997E-2</v>
      </c>
      <c r="C276">
        <v>40</v>
      </c>
      <c r="D276">
        <v>6.41</v>
      </c>
      <c r="E276">
        <v>1</v>
      </c>
      <c r="F276">
        <v>0.44700000000000001</v>
      </c>
      <c r="G276">
        <v>6.758</v>
      </c>
      <c r="H276">
        <v>32.9</v>
      </c>
      <c r="I276">
        <v>4.0776000000000003</v>
      </c>
      <c r="J276">
        <v>4</v>
      </c>
      <c r="K276">
        <v>254</v>
      </c>
      <c r="L276">
        <v>17.600000000000001</v>
      </c>
      <c r="M276">
        <v>396.9</v>
      </c>
      <c r="N276">
        <v>3.53</v>
      </c>
    </row>
    <row r="277" spans="1:14" x14ac:dyDescent="0.25">
      <c r="A277">
        <v>32</v>
      </c>
      <c r="B277">
        <v>9.604E-2</v>
      </c>
      <c r="C277">
        <v>40</v>
      </c>
      <c r="D277">
        <v>6.41</v>
      </c>
      <c r="E277">
        <v>0</v>
      </c>
      <c r="F277">
        <v>0.44700000000000001</v>
      </c>
      <c r="G277">
        <v>6.8540000000000001</v>
      </c>
      <c r="H277">
        <v>42.8</v>
      </c>
      <c r="I277">
        <v>4.2672999999999996</v>
      </c>
      <c r="J277">
        <v>4</v>
      </c>
      <c r="K277">
        <v>254</v>
      </c>
      <c r="L277">
        <v>17.600000000000001</v>
      </c>
      <c r="M277">
        <v>396.9</v>
      </c>
      <c r="N277">
        <v>2.98</v>
      </c>
    </row>
    <row r="278" spans="1:14" x14ac:dyDescent="0.25">
      <c r="A278">
        <v>33.200000000000003</v>
      </c>
      <c r="B278">
        <v>0.10469000000000001</v>
      </c>
      <c r="C278">
        <v>40</v>
      </c>
      <c r="D278">
        <v>6.41</v>
      </c>
      <c r="E278">
        <v>1</v>
      </c>
      <c r="F278">
        <v>0.44700000000000001</v>
      </c>
      <c r="G278">
        <v>7.2670000000000003</v>
      </c>
      <c r="H278">
        <v>49</v>
      </c>
      <c r="I278">
        <v>4.7872000000000003</v>
      </c>
      <c r="J278">
        <v>4</v>
      </c>
      <c r="K278">
        <v>254</v>
      </c>
      <c r="L278">
        <v>17.600000000000001</v>
      </c>
      <c r="M278">
        <v>389.25</v>
      </c>
      <c r="N278">
        <v>6.05</v>
      </c>
    </row>
    <row r="279" spans="1:14" x14ac:dyDescent="0.25">
      <c r="A279">
        <v>33.1</v>
      </c>
      <c r="B279">
        <v>6.1269999999999998E-2</v>
      </c>
      <c r="C279">
        <v>40</v>
      </c>
      <c r="D279">
        <v>6.41</v>
      </c>
      <c r="E279">
        <v>1</v>
      </c>
      <c r="F279">
        <v>0.44700000000000001</v>
      </c>
      <c r="G279">
        <v>6.8259999999999996</v>
      </c>
      <c r="H279">
        <v>27.6</v>
      </c>
      <c r="I279">
        <v>4.8628</v>
      </c>
      <c r="J279">
        <v>4</v>
      </c>
      <c r="K279">
        <v>254</v>
      </c>
      <c r="L279">
        <v>17.600000000000001</v>
      </c>
      <c r="M279">
        <v>393.45</v>
      </c>
      <c r="N279">
        <v>4.16</v>
      </c>
    </row>
    <row r="280" spans="1:14" x14ac:dyDescent="0.25">
      <c r="A280">
        <v>29.1</v>
      </c>
      <c r="B280">
        <v>7.9780000000000004E-2</v>
      </c>
      <c r="C280">
        <v>40</v>
      </c>
      <c r="D280">
        <v>6.41</v>
      </c>
      <c r="E280">
        <v>0</v>
      </c>
      <c r="F280">
        <v>0.44700000000000001</v>
      </c>
      <c r="G280">
        <v>6.4820000000000002</v>
      </c>
      <c r="H280">
        <v>32.1</v>
      </c>
      <c r="I280">
        <v>4.1402999999999999</v>
      </c>
      <c r="J280">
        <v>4</v>
      </c>
      <c r="K280">
        <v>254</v>
      </c>
      <c r="L280">
        <v>17.600000000000001</v>
      </c>
      <c r="M280">
        <v>396.9</v>
      </c>
      <c r="N280">
        <v>7.19</v>
      </c>
    </row>
    <row r="281" spans="1:14" x14ac:dyDescent="0.25">
      <c r="A281">
        <v>35.1</v>
      </c>
      <c r="B281">
        <v>0.21038000000000001</v>
      </c>
      <c r="C281">
        <v>20</v>
      </c>
      <c r="D281">
        <v>3.33</v>
      </c>
      <c r="E281">
        <v>0</v>
      </c>
      <c r="F281">
        <v>0.44290000000000002</v>
      </c>
      <c r="G281">
        <v>6.8120000000000003</v>
      </c>
      <c r="H281">
        <v>32.200000000000003</v>
      </c>
      <c r="I281">
        <v>4.1006999999999998</v>
      </c>
      <c r="J281">
        <v>5</v>
      </c>
      <c r="K281">
        <v>216</v>
      </c>
      <c r="L281">
        <v>14.9</v>
      </c>
      <c r="M281">
        <v>396.9</v>
      </c>
      <c r="N281">
        <v>4.8499999999999996</v>
      </c>
    </row>
    <row r="282" spans="1:14" x14ac:dyDescent="0.25">
      <c r="A282">
        <v>45.4</v>
      </c>
      <c r="B282">
        <v>3.5779999999999999E-2</v>
      </c>
      <c r="C282">
        <v>20</v>
      </c>
      <c r="D282">
        <v>3.33</v>
      </c>
      <c r="E282">
        <v>0</v>
      </c>
      <c r="F282">
        <v>0.44290000000000002</v>
      </c>
      <c r="G282">
        <v>7.82</v>
      </c>
      <c r="H282">
        <v>64.5</v>
      </c>
      <c r="I282">
        <v>4.6947000000000001</v>
      </c>
      <c r="J282">
        <v>5</v>
      </c>
      <c r="K282">
        <v>216</v>
      </c>
      <c r="L282">
        <v>14.9</v>
      </c>
      <c r="M282">
        <v>387.31</v>
      </c>
      <c r="N282">
        <v>3.76</v>
      </c>
    </row>
    <row r="283" spans="1:14" x14ac:dyDescent="0.25">
      <c r="A283">
        <v>35.4</v>
      </c>
      <c r="B283">
        <v>3.705E-2</v>
      </c>
      <c r="C283">
        <v>20</v>
      </c>
      <c r="D283">
        <v>3.33</v>
      </c>
      <c r="E283">
        <v>0</v>
      </c>
      <c r="F283">
        <v>0.44290000000000002</v>
      </c>
      <c r="G283">
        <v>6.968</v>
      </c>
      <c r="H283">
        <v>37.200000000000003</v>
      </c>
      <c r="I283">
        <v>5.2446999999999999</v>
      </c>
      <c r="J283">
        <v>5</v>
      </c>
      <c r="K283">
        <v>216</v>
      </c>
      <c r="L283">
        <v>14.9</v>
      </c>
      <c r="M283">
        <v>392.23</v>
      </c>
      <c r="N283">
        <v>4.59</v>
      </c>
    </row>
    <row r="284" spans="1:14" x14ac:dyDescent="0.25">
      <c r="A284">
        <v>46</v>
      </c>
      <c r="B284">
        <v>6.1289999999999997E-2</v>
      </c>
      <c r="C284">
        <v>20</v>
      </c>
      <c r="D284">
        <v>3.33</v>
      </c>
      <c r="E284">
        <v>1</v>
      </c>
      <c r="F284">
        <v>0.44290000000000002</v>
      </c>
      <c r="G284">
        <v>7.6449999999999996</v>
      </c>
      <c r="H284">
        <v>49.7</v>
      </c>
      <c r="I284">
        <v>5.2119</v>
      </c>
      <c r="J284">
        <v>5</v>
      </c>
      <c r="K284">
        <v>216</v>
      </c>
      <c r="L284">
        <v>14.9</v>
      </c>
      <c r="M284">
        <v>377.07</v>
      </c>
      <c r="N284">
        <v>3.01</v>
      </c>
    </row>
    <row r="285" spans="1:14" x14ac:dyDescent="0.25">
      <c r="A285">
        <v>50</v>
      </c>
      <c r="B285">
        <v>1.5010000000000001E-2</v>
      </c>
      <c r="C285">
        <v>90</v>
      </c>
      <c r="D285">
        <v>1.21</v>
      </c>
      <c r="E285">
        <v>1</v>
      </c>
      <c r="F285">
        <v>0.40100000000000002</v>
      </c>
      <c r="G285">
        <v>7.923</v>
      </c>
      <c r="H285">
        <v>24.8</v>
      </c>
      <c r="I285">
        <v>5.8849999999999998</v>
      </c>
      <c r="J285">
        <v>1</v>
      </c>
      <c r="K285">
        <v>198</v>
      </c>
      <c r="L285">
        <v>13.6</v>
      </c>
      <c r="M285">
        <v>395.52</v>
      </c>
      <c r="N285">
        <v>3.16</v>
      </c>
    </row>
    <row r="286" spans="1:14" x14ac:dyDescent="0.25">
      <c r="A286">
        <v>32.200000000000003</v>
      </c>
      <c r="B286">
        <v>9.0600000000000003E-3</v>
      </c>
      <c r="C286">
        <v>90</v>
      </c>
      <c r="D286">
        <v>2.97</v>
      </c>
      <c r="E286">
        <v>0</v>
      </c>
      <c r="F286">
        <v>0.4</v>
      </c>
      <c r="G286">
        <v>7.0880000000000001</v>
      </c>
      <c r="H286">
        <v>20.8</v>
      </c>
      <c r="I286">
        <v>7.3072999999999997</v>
      </c>
      <c r="J286">
        <v>1</v>
      </c>
      <c r="K286">
        <v>285</v>
      </c>
      <c r="L286">
        <v>15.3</v>
      </c>
      <c r="M286">
        <v>394.72</v>
      </c>
      <c r="N286">
        <v>7.85</v>
      </c>
    </row>
    <row r="287" spans="1:14" x14ac:dyDescent="0.25">
      <c r="A287">
        <v>22</v>
      </c>
      <c r="B287">
        <v>1.0959999999999999E-2</v>
      </c>
      <c r="C287">
        <v>55</v>
      </c>
      <c r="D287">
        <v>2.25</v>
      </c>
      <c r="E287">
        <v>0</v>
      </c>
      <c r="F287">
        <v>0.38900000000000001</v>
      </c>
      <c r="G287">
        <v>6.4530000000000003</v>
      </c>
      <c r="H287">
        <v>31.9</v>
      </c>
      <c r="I287">
        <v>7.3072999999999997</v>
      </c>
      <c r="J287">
        <v>1</v>
      </c>
      <c r="K287">
        <v>300</v>
      </c>
      <c r="L287">
        <v>15.3</v>
      </c>
      <c r="M287">
        <v>394.72</v>
      </c>
      <c r="N287">
        <v>8.23</v>
      </c>
    </row>
    <row r="288" spans="1:14" x14ac:dyDescent="0.25">
      <c r="A288">
        <v>20.100000000000001</v>
      </c>
      <c r="B288">
        <v>1.9650000000000001E-2</v>
      </c>
      <c r="C288">
        <v>80</v>
      </c>
      <c r="D288">
        <v>1.76</v>
      </c>
      <c r="E288">
        <v>0</v>
      </c>
      <c r="F288">
        <v>0.38500000000000001</v>
      </c>
      <c r="G288">
        <v>6.23</v>
      </c>
      <c r="H288">
        <v>31.5</v>
      </c>
      <c r="I288">
        <v>9.0891999999999999</v>
      </c>
      <c r="J288">
        <v>1</v>
      </c>
      <c r="K288">
        <v>241</v>
      </c>
      <c r="L288">
        <v>18.2</v>
      </c>
      <c r="M288">
        <v>341.6</v>
      </c>
      <c r="N288">
        <v>12.93</v>
      </c>
    </row>
    <row r="289" spans="1:14" x14ac:dyDescent="0.25">
      <c r="A289">
        <v>23.2</v>
      </c>
      <c r="B289">
        <v>3.8710000000000001E-2</v>
      </c>
      <c r="C289">
        <v>52.5</v>
      </c>
      <c r="D289">
        <v>5.32</v>
      </c>
      <c r="E289">
        <v>0</v>
      </c>
      <c r="F289">
        <v>0.40500000000000003</v>
      </c>
      <c r="G289">
        <v>6.2089999999999996</v>
      </c>
      <c r="H289">
        <v>31.3</v>
      </c>
      <c r="I289">
        <v>7.3171999999999997</v>
      </c>
      <c r="J289">
        <v>6</v>
      </c>
      <c r="K289">
        <v>293</v>
      </c>
      <c r="L289">
        <v>16.600000000000001</v>
      </c>
      <c r="M289">
        <v>396.9</v>
      </c>
      <c r="N289">
        <v>7.14</v>
      </c>
    </row>
    <row r="290" spans="1:14" x14ac:dyDescent="0.25">
      <c r="A290">
        <v>22.3</v>
      </c>
      <c r="B290">
        <v>4.5900000000000003E-2</v>
      </c>
      <c r="C290">
        <v>52.5</v>
      </c>
      <c r="D290">
        <v>5.32</v>
      </c>
      <c r="E290">
        <v>0</v>
      </c>
      <c r="F290">
        <v>0.40500000000000003</v>
      </c>
      <c r="G290">
        <v>6.3150000000000004</v>
      </c>
      <c r="H290">
        <v>45.6</v>
      </c>
      <c r="I290">
        <v>7.3171999999999997</v>
      </c>
      <c r="J290">
        <v>6</v>
      </c>
      <c r="K290">
        <v>293</v>
      </c>
      <c r="L290">
        <v>16.600000000000001</v>
      </c>
      <c r="M290">
        <v>396.9</v>
      </c>
      <c r="N290">
        <v>7.6</v>
      </c>
    </row>
    <row r="291" spans="1:14" x14ac:dyDescent="0.25">
      <c r="A291">
        <v>24.8</v>
      </c>
      <c r="B291">
        <v>4.2970000000000001E-2</v>
      </c>
      <c r="C291">
        <v>52.5</v>
      </c>
      <c r="D291">
        <v>5.32</v>
      </c>
      <c r="E291">
        <v>0</v>
      </c>
      <c r="F291">
        <v>0.40500000000000003</v>
      </c>
      <c r="G291">
        <v>6.5650000000000004</v>
      </c>
      <c r="H291">
        <v>22.9</v>
      </c>
      <c r="I291">
        <v>7.3171999999999997</v>
      </c>
      <c r="J291">
        <v>6</v>
      </c>
      <c r="K291">
        <v>293</v>
      </c>
      <c r="L291">
        <v>16.600000000000001</v>
      </c>
      <c r="M291">
        <v>371.72</v>
      </c>
      <c r="N291">
        <v>9.51</v>
      </c>
    </row>
    <row r="292" spans="1:14" x14ac:dyDescent="0.25">
      <c r="A292">
        <v>28.5</v>
      </c>
      <c r="B292">
        <v>3.5020000000000003E-2</v>
      </c>
      <c r="C292">
        <v>80</v>
      </c>
      <c r="D292">
        <v>4.95</v>
      </c>
      <c r="E292">
        <v>0</v>
      </c>
      <c r="F292">
        <v>0.41099999999999998</v>
      </c>
      <c r="G292">
        <v>6.8609999999999998</v>
      </c>
      <c r="H292">
        <v>27.9</v>
      </c>
      <c r="I292">
        <v>5.1166999999999998</v>
      </c>
      <c r="J292">
        <v>4</v>
      </c>
      <c r="K292">
        <v>245</v>
      </c>
      <c r="L292">
        <v>19.2</v>
      </c>
      <c r="M292">
        <v>396.9</v>
      </c>
      <c r="N292">
        <v>3.33</v>
      </c>
    </row>
    <row r="293" spans="1:14" x14ac:dyDescent="0.25">
      <c r="A293">
        <v>37.299999999999997</v>
      </c>
      <c r="B293">
        <v>7.886E-2</v>
      </c>
      <c r="C293">
        <v>80</v>
      </c>
      <c r="D293">
        <v>4.95</v>
      </c>
      <c r="E293">
        <v>0</v>
      </c>
      <c r="F293">
        <v>0.41099999999999998</v>
      </c>
      <c r="G293">
        <v>7.1479999999999997</v>
      </c>
      <c r="H293">
        <v>27.7</v>
      </c>
      <c r="I293">
        <v>5.1166999999999998</v>
      </c>
      <c r="J293">
        <v>4</v>
      </c>
      <c r="K293">
        <v>245</v>
      </c>
      <c r="L293">
        <v>19.2</v>
      </c>
      <c r="M293">
        <v>396.9</v>
      </c>
      <c r="N293">
        <v>3.56</v>
      </c>
    </row>
    <row r="294" spans="1:14" x14ac:dyDescent="0.25">
      <c r="A294">
        <v>27.9</v>
      </c>
      <c r="B294">
        <v>3.6150000000000002E-2</v>
      </c>
      <c r="C294">
        <v>80</v>
      </c>
      <c r="D294">
        <v>4.95</v>
      </c>
      <c r="E294">
        <v>0</v>
      </c>
      <c r="F294">
        <v>0.41099999999999998</v>
      </c>
      <c r="G294">
        <v>6.63</v>
      </c>
      <c r="H294">
        <v>23.4</v>
      </c>
      <c r="I294">
        <v>5.1166999999999998</v>
      </c>
      <c r="J294">
        <v>4</v>
      </c>
      <c r="K294">
        <v>245</v>
      </c>
      <c r="L294">
        <v>19.2</v>
      </c>
      <c r="M294">
        <v>396.9</v>
      </c>
      <c r="N294">
        <v>4.7</v>
      </c>
    </row>
    <row r="295" spans="1:14" x14ac:dyDescent="0.25">
      <c r="A295">
        <v>23.9</v>
      </c>
      <c r="B295">
        <v>8.2650000000000001E-2</v>
      </c>
      <c r="C295">
        <v>0</v>
      </c>
      <c r="D295">
        <v>13.92</v>
      </c>
      <c r="E295">
        <v>0</v>
      </c>
      <c r="F295">
        <v>0.437</v>
      </c>
      <c r="G295">
        <v>6.1269999999999998</v>
      </c>
      <c r="H295">
        <v>18.399999999999999</v>
      </c>
      <c r="I295">
        <v>5.5026999999999999</v>
      </c>
      <c r="J295">
        <v>4</v>
      </c>
      <c r="K295">
        <v>289</v>
      </c>
      <c r="L295">
        <v>16</v>
      </c>
      <c r="M295">
        <v>396.9</v>
      </c>
      <c r="N295">
        <v>8.58</v>
      </c>
    </row>
    <row r="296" spans="1:14" x14ac:dyDescent="0.25">
      <c r="A296">
        <v>21.7</v>
      </c>
      <c r="B296">
        <v>8.1989999999999993E-2</v>
      </c>
      <c r="C296">
        <v>0</v>
      </c>
      <c r="D296">
        <v>13.92</v>
      </c>
      <c r="E296">
        <v>0</v>
      </c>
      <c r="F296">
        <v>0.437</v>
      </c>
      <c r="G296">
        <v>6.0090000000000003</v>
      </c>
      <c r="H296">
        <v>42.3</v>
      </c>
      <c r="I296">
        <v>5.5026999999999999</v>
      </c>
      <c r="J296">
        <v>4</v>
      </c>
      <c r="K296">
        <v>289</v>
      </c>
      <c r="L296">
        <v>16</v>
      </c>
      <c r="M296">
        <v>396.9</v>
      </c>
      <c r="N296">
        <v>10.4</v>
      </c>
    </row>
    <row r="297" spans="1:14" x14ac:dyDescent="0.25">
      <c r="A297">
        <v>28.6</v>
      </c>
      <c r="B297">
        <v>0.12931999999999999</v>
      </c>
      <c r="C297">
        <v>0</v>
      </c>
      <c r="D297">
        <v>13.92</v>
      </c>
      <c r="E297">
        <v>0</v>
      </c>
      <c r="F297">
        <v>0.437</v>
      </c>
      <c r="G297">
        <v>6.6779999999999999</v>
      </c>
      <c r="H297">
        <v>31.1</v>
      </c>
      <c r="I297">
        <v>5.9603999999999999</v>
      </c>
      <c r="J297">
        <v>4</v>
      </c>
      <c r="K297">
        <v>289</v>
      </c>
      <c r="L297">
        <v>16</v>
      </c>
      <c r="M297">
        <v>396.9</v>
      </c>
      <c r="N297">
        <v>6.27</v>
      </c>
    </row>
    <row r="298" spans="1:14" x14ac:dyDescent="0.25">
      <c r="A298">
        <v>27.1</v>
      </c>
      <c r="B298">
        <v>5.3719999999999997E-2</v>
      </c>
      <c r="C298">
        <v>0</v>
      </c>
      <c r="D298">
        <v>13.92</v>
      </c>
      <c r="E298">
        <v>0</v>
      </c>
      <c r="F298">
        <v>0.437</v>
      </c>
      <c r="G298">
        <v>6.5490000000000004</v>
      </c>
      <c r="H298">
        <v>51</v>
      </c>
      <c r="I298">
        <v>5.9603999999999999</v>
      </c>
      <c r="J298">
        <v>4</v>
      </c>
      <c r="K298">
        <v>289</v>
      </c>
      <c r="L298">
        <v>16</v>
      </c>
      <c r="M298">
        <v>392.85</v>
      </c>
      <c r="N298">
        <v>7.39</v>
      </c>
    </row>
    <row r="299" spans="1:14" x14ac:dyDescent="0.25">
      <c r="A299">
        <v>20.3</v>
      </c>
      <c r="B299">
        <v>0.14102999999999999</v>
      </c>
      <c r="C299">
        <v>0</v>
      </c>
      <c r="D299">
        <v>13.92</v>
      </c>
      <c r="E299">
        <v>0</v>
      </c>
      <c r="F299">
        <v>0.437</v>
      </c>
      <c r="G299">
        <v>5.79</v>
      </c>
      <c r="H299">
        <v>58</v>
      </c>
      <c r="I299">
        <v>6.32</v>
      </c>
      <c r="J299">
        <v>4</v>
      </c>
      <c r="K299">
        <v>289</v>
      </c>
      <c r="L299">
        <v>16</v>
      </c>
      <c r="M299">
        <v>396.9</v>
      </c>
      <c r="N299">
        <v>15.84</v>
      </c>
    </row>
    <row r="300" spans="1:14" x14ac:dyDescent="0.25">
      <c r="A300">
        <v>22.5</v>
      </c>
      <c r="B300">
        <v>6.4659999999999995E-2</v>
      </c>
      <c r="C300">
        <v>70</v>
      </c>
      <c r="D300">
        <v>2.2400000000000002</v>
      </c>
      <c r="E300">
        <v>0</v>
      </c>
      <c r="F300">
        <v>0.4</v>
      </c>
      <c r="G300">
        <v>6.3449999999999998</v>
      </c>
      <c r="H300">
        <v>20.100000000000001</v>
      </c>
      <c r="I300">
        <v>7.8277999999999999</v>
      </c>
      <c r="J300">
        <v>5</v>
      </c>
      <c r="K300">
        <v>358</v>
      </c>
      <c r="L300">
        <v>14.8</v>
      </c>
      <c r="M300">
        <v>368.24</v>
      </c>
      <c r="N300">
        <v>4.97</v>
      </c>
    </row>
    <row r="301" spans="1:14" x14ac:dyDescent="0.25">
      <c r="A301">
        <v>29</v>
      </c>
      <c r="B301">
        <v>5.561E-2</v>
      </c>
      <c r="C301">
        <v>70</v>
      </c>
      <c r="D301">
        <v>2.2400000000000002</v>
      </c>
      <c r="E301">
        <v>0</v>
      </c>
      <c r="F301">
        <v>0.4</v>
      </c>
      <c r="G301">
        <v>7.0410000000000004</v>
      </c>
      <c r="H301">
        <v>10</v>
      </c>
      <c r="I301">
        <v>7.8277999999999999</v>
      </c>
      <c r="J301">
        <v>5</v>
      </c>
      <c r="K301">
        <v>358</v>
      </c>
      <c r="L301">
        <v>14.8</v>
      </c>
      <c r="M301">
        <v>371.58</v>
      </c>
      <c r="N301">
        <v>4.74</v>
      </c>
    </row>
    <row r="302" spans="1:14" x14ac:dyDescent="0.25">
      <c r="A302">
        <v>24.8</v>
      </c>
      <c r="B302">
        <v>4.4170000000000001E-2</v>
      </c>
      <c r="C302">
        <v>70</v>
      </c>
      <c r="D302">
        <v>2.2400000000000002</v>
      </c>
      <c r="E302">
        <v>0</v>
      </c>
      <c r="F302">
        <v>0.4</v>
      </c>
      <c r="G302">
        <v>6.8710000000000004</v>
      </c>
      <c r="H302">
        <v>47.4</v>
      </c>
      <c r="I302">
        <v>7.8277999999999999</v>
      </c>
      <c r="J302">
        <v>5</v>
      </c>
      <c r="K302">
        <v>358</v>
      </c>
      <c r="L302">
        <v>14.8</v>
      </c>
      <c r="M302">
        <v>390.86</v>
      </c>
      <c r="N302">
        <v>6.07</v>
      </c>
    </row>
    <row r="303" spans="1:14" x14ac:dyDescent="0.25">
      <c r="A303">
        <v>22</v>
      </c>
      <c r="B303">
        <v>3.5369999999999999E-2</v>
      </c>
      <c r="C303">
        <v>34</v>
      </c>
      <c r="D303">
        <v>6.09</v>
      </c>
      <c r="E303">
        <v>0</v>
      </c>
      <c r="F303">
        <v>0.433</v>
      </c>
      <c r="G303">
        <v>6.59</v>
      </c>
      <c r="H303">
        <v>40.4</v>
      </c>
      <c r="I303">
        <v>5.4916999999999998</v>
      </c>
      <c r="J303">
        <v>7</v>
      </c>
      <c r="K303">
        <v>329</v>
      </c>
      <c r="L303">
        <v>16.100000000000001</v>
      </c>
      <c r="M303">
        <v>395.75</v>
      </c>
      <c r="N303">
        <v>9.5</v>
      </c>
    </row>
    <row r="304" spans="1:14" x14ac:dyDescent="0.25">
      <c r="A304">
        <v>26.4</v>
      </c>
      <c r="B304">
        <v>9.2660000000000006E-2</v>
      </c>
      <c r="C304">
        <v>34</v>
      </c>
      <c r="D304">
        <v>6.09</v>
      </c>
      <c r="E304">
        <v>0</v>
      </c>
      <c r="F304">
        <v>0.433</v>
      </c>
      <c r="G304">
        <v>6.4950000000000001</v>
      </c>
      <c r="H304">
        <v>18.399999999999999</v>
      </c>
      <c r="I304">
        <v>5.4916999999999998</v>
      </c>
      <c r="J304">
        <v>7</v>
      </c>
      <c r="K304">
        <v>329</v>
      </c>
      <c r="L304">
        <v>16.100000000000001</v>
      </c>
      <c r="M304">
        <v>383.61</v>
      </c>
      <c r="N304">
        <v>8.67</v>
      </c>
    </row>
    <row r="305" spans="1:14" x14ac:dyDescent="0.25">
      <c r="A305">
        <v>33.1</v>
      </c>
      <c r="B305">
        <v>0.1</v>
      </c>
      <c r="C305">
        <v>34</v>
      </c>
      <c r="D305">
        <v>6.09</v>
      </c>
      <c r="E305">
        <v>0</v>
      </c>
      <c r="F305">
        <v>0.433</v>
      </c>
      <c r="G305">
        <v>6.9820000000000002</v>
      </c>
      <c r="H305">
        <v>17.7</v>
      </c>
      <c r="I305">
        <v>5.4916999999999998</v>
      </c>
      <c r="J305">
        <v>7</v>
      </c>
      <c r="K305">
        <v>329</v>
      </c>
      <c r="L305">
        <v>16.100000000000001</v>
      </c>
      <c r="M305">
        <v>390.43</v>
      </c>
      <c r="N305">
        <v>4.8600000000000003</v>
      </c>
    </row>
    <row r="306" spans="1:14" x14ac:dyDescent="0.25">
      <c r="A306">
        <v>36.1</v>
      </c>
      <c r="B306">
        <v>5.5149999999999998E-2</v>
      </c>
      <c r="C306">
        <v>33</v>
      </c>
      <c r="D306">
        <v>2.1800000000000002</v>
      </c>
      <c r="E306">
        <v>0</v>
      </c>
      <c r="F306">
        <v>0.47199999999999998</v>
      </c>
      <c r="G306">
        <v>7.2359999999999998</v>
      </c>
      <c r="H306">
        <v>41.1</v>
      </c>
      <c r="I306">
        <v>4.0220000000000002</v>
      </c>
      <c r="J306">
        <v>7</v>
      </c>
      <c r="K306">
        <v>222</v>
      </c>
      <c r="L306">
        <v>18.399999999999999</v>
      </c>
      <c r="M306">
        <v>393.68</v>
      </c>
      <c r="N306">
        <v>6.93</v>
      </c>
    </row>
    <row r="307" spans="1:14" x14ac:dyDescent="0.25">
      <c r="A307">
        <v>28.4</v>
      </c>
      <c r="B307">
        <v>5.4789999999999998E-2</v>
      </c>
      <c r="C307">
        <v>33</v>
      </c>
      <c r="D307">
        <v>2.1800000000000002</v>
      </c>
      <c r="E307">
        <v>0</v>
      </c>
      <c r="F307">
        <v>0.47199999999999998</v>
      </c>
      <c r="G307">
        <v>6.6159999999999997</v>
      </c>
      <c r="H307">
        <v>58.1</v>
      </c>
      <c r="I307">
        <v>3.37</v>
      </c>
      <c r="J307">
        <v>7</v>
      </c>
      <c r="K307">
        <v>222</v>
      </c>
      <c r="L307">
        <v>18.399999999999999</v>
      </c>
      <c r="M307">
        <v>393.36</v>
      </c>
      <c r="N307">
        <v>8.93</v>
      </c>
    </row>
    <row r="308" spans="1:14" x14ac:dyDescent="0.25">
      <c r="A308">
        <v>33.4</v>
      </c>
      <c r="B308">
        <v>7.5029999999999999E-2</v>
      </c>
      <c r="C308">
        <v>33</v>
      </c>
      <c r="D308">
        <v>2.1800000000000002</v>
      </c>
      <c r="E308">
        <v>0</v>
      </c>
      <c r="F308">
        <v>0.47199999999999998</v>
      </c>
      <c r="G308">
        <v>7.42</v>
      </c>
      <c r="H308">
        <v>71.900000000000006</v>
      </c>
      <c r="I308">
        <v>3.0992000000000002</v>
      </c>
      <c r="J308">
        <v>7</v>
      </c>
      <c r="K308">
        <v>222</v>
      </c>
      <c r="L308">
        <v>18.399999999999999</v>
      </c>
      <c r="M308">
        <v>396.9</v>
      </c>
      <c r="N308">
        <v>6.47</v>
      </c>
    </row>
    <row r="309" spans="1:14" x14ac:dyDescent="0.25">
      <c r="A309">
        <v>28.2</v>
      </c>
      <c r="B309">
        <v>4.9320000000000003E-2</v>
      </c>
      <c r="C309">
        <v>33</v>
      </c>
      <c r="D309">
        <v>2.1800000000000002</v>
      </c>
      <c r="E309">
        <v>0</v>
      </c>
      <c r="F309">
        <v>0.47199999999999998</v>
      </c>
      <c r="G309">
        <v>6.8490000000000002</v>
      </c>
      <c r="H309">
        <v>70.3</v>
      </c>
      <c r="I309">
        <v>3.1827000000000001</v>
      </c>
      <c r="J309">
        <v>7</v>
      </c>
      <c r="K309">
        <v>222</v>
      </c>
      <c r="L309">
        <v>18.399999999999999</v>
      </c>
      <c r="M309">
        <v>396.9</v>
      </c>
      <c r="N309">
        <v>7.53</v>
      </c>
    </row>
    <row r="310" spans="1:14" x14ac:dyDescent="0.25">
      <c r="A310">
        <v>22.8</v>
      </c>
      <c r="B310">
        <v>0.49297999999999997</v>
      </c>
      <c r="C310">
        <v>0</v>
      </c>
      <c r="D310">
        <v>9.9</v>
      </c>
      <c r="E310">
        <v>0</v>
      </c>
      <c r="F310">
        <v>0.54400000000000004</v>
      </c>
      <c r="G310">
        <v>6.6349999999999998</v>
      </c>
      <c r="H310">
        <v>82.5</v>
      </c>
      <c r="I310">
        <v>3.3174999999999999</v>
      </c>
      <c r="J310">
        <v>4</v>
      </c>
      <c r="K310">
        <v>304</v>
      </c>
      <c r="L310">
        <v>18.399999999999999</v>
      </c>
      <c r="M310">
        <v>396.9</v>
      </c>
      <c r="N310">
        <v>4.54</v>
      </c>
    </row>
    <row r="311" spans="1:14" x14ac:dyDescent="0.25">
      <c r="A311">
        <v>20.3</v>
      </c>
      <c r="B311">
        <v>0.34939999999999999</v>
      </c>
      <c r="C311">
        <v>0</v>
      </c>
      <c r="D311">
        <v>9.9</v>
      </c>
      <c r="E311">
        <v>0</v>
      </c>
      <c r="F311">
        <v>0.54400000000000004</v>
      </c>
      <c r="G311">
        <v>5.9720000000000004</v>
      </c>
      <c r="H311">
        <v>76.7</v>
      </c>
      <c r="I311">
        <v>3.1025</v>
      </c>
      <c r="J311">
        <v>4</v>
      </c>
      <c r="K311">
        <v>304</v>
      </c>
      <c r="L311">
        <v>18.399999999999999</v>
      </c>
      <c r="M311">
        <v>396.24</v>
      </c>
      <c r="N311">
        <v>9.9700000000000006</v>
      </c>
    </row>
    <row r="312" spans="1:14" x14ac:dyDescent="0.25">
      <c r="A312">
        <v>16.100000000000001</v>
      </c>
      <c r="B312">
        <v>2.6354799999999998</v>
      </c>
      <c r="C312">
        <v>0</v>
      </c>
      <c r="D312">
        <v>9.9</v>
      </c>
      <c r="E312">
        <v>0</v>
      </c>
      <c r="F312">
        <v>0.54400000000000004</v>
      </c>
      <c r="G312">
        <v>4.9729999999999999</v>
      </c>
      <c r="H312">
        <v>37.799999999999997</v>
      </c>
      <c r="I312">
        <v>2.5194000000000001</v>
      </c>
      <c r="J312">
        <v>4</v>
      </c>
      <c r="K312">
        <v>304</v>
      </c>
      <c r="L312">
        <v>18.399999999999999</v>
      </c>
      <c r="M312">
        <v>350.45</v>
      </c>
      <c r="N312">
        <v>12.64</v>
      </c>
    </row>
    <row r="313" spans="1:14" x14ac:dyDescent="0.25">
      <c r="A313">
        <v>22.1</v>
      </c>
      <c r="B313">
        <v>0.79040999999999995</v>
      </c>
      <c r="C313">
        <v>0</v>
      </c>
      <c r="D313">
        <v>9.9</v>
      </c>
      <c r="E313">
        <v>0</v>
      </c>
      <c r="F313">
        <v>0.54400000000000004</v>
      </c>
      <c r="G313">
        <v>6.1219999999999999</v>
      </c>
      <c r="H313">
        <v>52.8</v>
      </c>
      <c r="I313">
        <v>2.6402999999999999</v>
      </c>
      <c r="J313">
        <v>4</v>
      </c>
      <c r="K313">
        <v>304</v>
      </c>
      <c r="L313">
        <v>18.399999999999999</v>
      </c>
      <c r="M313">
        <v>396.9</v>
      </c>
      <c r="N313">
        <v>5.98</v>
      </c>
    </row>
    <row r="314" spans="1:14" x14ac:dyDescent="0.25">
      <c r="A314">
        <v>19.399999999999999</v>
      </c>
      <c r="B314">
        <v>0.26168999999999998</v>
      </c>
      <c r="C314">
        <v>0</v>
      </c>
      <c r="D314">
        <v>9.9</v>
      </c>
      <c r="E314">
        <v>0</v>
      </c>
      <c r="F314">
        <v>0.54400000000000004</v>
      </c>
      <c r="G314">
        <v>6.0229999999999997</v>
      </c>
      <c r="H314">
        <v>90.4</v>
      </c>
      <c r="I314">
        <v>2.8340000000000001</v>
      </c>
      <c r="J314">
        <v>4</v>
      </c>
      <c r="K314">
        <v>304</v>
      </c>
      <c r="L314">
        <v>18.399999999999999</v>
      </c>
      <c r="M314">
        <v>396.3</v>
      </c>
      <c r="N314">
        <v>11.72</v>
      </c>
    </row>
    <row r="315" spans="1:14" x14ac:dyDescent="0.25">
      <c r="A315">
        <v>21.6</v>
      </c>
      <c r="B315">
        <v>0.26938000000000001</v>
      </c>
      <c r="C315">
        <v>0</v>
      </c>
      <c r="D315">
        <v>9.9</v>
      </c>
      <c r="E315">
        <v>0</v>
      </c>
      <c r="F315">
        <v>0.54400000000000004</v>
      </c>
      <c r="G315">
        <v>6.266</v>
      </c>
      <c r="H315">
        <v>82.8</v>
      </c>
      <c r="I315">
        <v>3.2627999999999999</v>
      </c>
      <c r="J315">
        <v>4</v>
      </c>
      <c r="K315">
        <v>304</v>
      </c>
      <c r="L315">
        <v>18.399999999999999</v>
      </c>
      <c r="M315">
        <v>393.39</v>
      </c>
      <c r="N315">
        <v>7.9</v>
      </c>
    </row>
    <row r="316" spans="1:14" x14ac:dyDescent="0.25">
      <c r="A316">
        <v>23.8</v>
      </c>
      <c r="B316">
        <v>0.36919999999999997</v>
      </c>
      <c r="C316">
        <v>0</v>
      </c>
      <c r="D316">
        <v>9.9</v>
      </c>
      <c r="E316">
        <v>0</v>
      </c>
      <c r="F316">
        <v>0.54400000000000004</v>
      </c>
      <c r="G316">
        <v>6.5670000000000002</v>
      </c>
      <c r="H316">
        <v>87.3</v>
      </c>
      <c r="I316">
        <v>3.6023000000000001</v>
      </c>
      <c r="J316">
        <v>4</v>
      </c>
      <c r="K316">
        <v>304</v>
      </c>
      <c r="L316">
        <v>18.399999999999999</v>
      </c>
      <c r="M316">
        <v>395.69</v>
      </c>
      <c r="N316">
        <v>9.2799999999999994</v>
      </c>
    </row>
    <row r="317" spans="1:14" x14ac:dyDescent="0.25">
      <c r="A317">
        <v>16.2</v>
      </c>
      <c r="B317">
        <v>0.25356000000000001</v>
      </c>
      <c r="C317">
        <v>0</v>
      </c>
      <c r="D317">
        <v>9.9</v>
      </c>
      <c r="E317">
        <v>0</v>
      </c>
      <c r="F317">
        <v>0.54400000000000004</v>
      </c>
      <c r="G317">
        <v>5.7050000000000001</v>
      </c>
      <c r="H317">
        <v>77.7</v>
      </c>
      <c r="I317">
        <v>3.9449999999999998</v>
      </c>
      <c r="J317">
        <v>4</v>
      </c>
      <c r="K317">
        <v>304</v>
      </c>
      <c r="L317">
        <v>18.399999999999999</v>
      </c>
      <c r="M317">
        <v>396.42</v>
      </c>
      <c r="N317">
        <v>11.5</v>
      </c>
    </row>
    <row r="318" spans="1:14" x14ac:dyDescent="0.25">
      <c r="A318">
        <v>17.8</v>
      </c>
      <c r="B318">
        <v>0.31827</v>
      </c>
      <c r="C318">
        <v>0</v>
      </c>
      <c r="D318">
        <v>9.9</v>
      </c>
      <c r="E318">
        <v>0</v>
      </c>
      <c r="F318">
        <v>0.54400000000000004</v>
      </c>
      <c r="G318">
        <v>5.9139999999999997</v>
      </c>
      <c r="H318">
        <v>83.2</v>
      </c>
      <c r="I318">
        <v>3.9986000000000002</v>
      </c>
      <c r="J318">
        <v>4</v>
      </c>
      <c r="K318">
        <v>304</v>
      </c>
      <c r="L318">
        <v>18.399999999999999</v>
      </c>
      <c r="M318">
        <v>390.7</v>
      </c>
      <c r="N318">
        <v>18.329999999999998</v>
      </c>
    </row>
    <row r="319" spans="1:14" x14ac:dyDescent="0.25">
      <c r="A319">
        <v>19.8</v>
      </c>
      <c r="B319">
        <v>0.24521999999999999</v>
      </c>
      <c r="C319">
        <v>0</v>
      </c>
      <c r="D319">
        <v>9.9</v>
      </c>
      <c r="E319">
        <v>0</v>
      </c>
      <c r="F319">
        <v>0.54400000000000004</v>
      </c>
      <c r="G319">
        <v>5.782</v>
      </c>
      <c r="H319">
        <v>71.7</v>
      </c>
      <c r="I319">
        <v>4.0316999999999998</v>
      </c>
      <c r="J319">
        <v>4</v>
      </c>
      <c r="K319">
        <v>304</v>
      </c>
      <c r="L319">
        <v>18.399999999999999</v>
      </c>
      <c r="M319">
        <v>396.9</v>
      </c>
      <c r="N319">
        <v>15.94</v>
      </c>
    </row>
    <row r="320" spans="1:14" x14ac:dyDescent="0.25">
      <c r="A320">
        <v>23.1</v>
      </c>
      <c r="B320">
        <v>0.40201999999999999</v>
      </c>
      <c r="C320">
        <v>0</v>
      </c>
      <c r="D320">
        <v>9.9</v>
      </c>
      <c r="E320">
        <v>0</v>
      </c>
      <c r="F320">
        <v>0.54400000000000004</v>
      </c>
      <c r="G320">
        <v>6.3819999999999997</v>
      </c>
      <c r="H320">
        <v>67.2</v>
      </c>
      <c r="I320">
        <v>3.5325000000000002</v>
      </c>
      <c r="J320">
        <v>4</v>
      </c>
      <c r="K320">
        <v>304</v>
      </c>
      <c r="L320">
        <v>18.399999999999999</v>
      </c>
      <c r="M320">
        <v>395.21</v>
      </c>
      <c r="N320">
        <v>10.36</v>
      </c>
    </row>
    <row r="321" spans="1:14" x14ac:dyDescent="0.25">
      <c r="A321">
        <v>21</v>
      </c>
      <c r="B321">
        <v>0.47547</v>
      </c>
      <c r="C321">
        <v>0</v>
      </c>
      <c r="D321">
        <v>9.9</v>
      </c>
      <c r="E321">
        <v>0</v>
      </c>
      <c r="F321">
        <v>0.54400000000000004</v>
      </c>
      <c r="G321">
        <v>6.1130000000000004</v>
      </c>
      <c r="H321">
        <v>58.8</v>
      </c>
      <c r="I321">
        <v>4.0019</v>
      </c>
      <c r="J321">
        <v>4</v>
      </c>
      <c r="K321">
        <v>304</v>
      </c>
      <c r="L321">
        <v>18.399999999999999</v>
      </c>
      <c r="M321">
        <v>396.23</v>
      </c>
      <c r="N321">
        <v>12.73</v>
      </c>
    </row>
    <row r="322" spans="1:14" x14ac:dyDescent="0.25">
      <c r="A322">
        <v>23.8</v>
      </c>
      <c r="B322">
        <v>0.1676</v>
      </c>
      <c r="C322">
        <v>0</v>
      </c>
      <c r="D322">
        <v>7.38</v>
      </c>
      <c r="E322">
        <v>0</v>
      </c>
      <c r="F322">
        <v>0.49299999999999999</v>
      </c>
      <c r="G322">
        <v>6.4260000000000002</v>
      </c>
      <c r="H322">
        <v>52.3</v>
      </c>
      <c r="I322">
        <v>4.5404</v>
      </c>
      <c r="J322">
        <v>5</v>
      </c>
      <c r="K322">
        <v>287</v>
      </c>
      <c r="L322">
        <v>19.600000000000001</v>
      </c>
      <c r="M322">
        <v>396.9</v>
      </c>
      <c r="N322">
        <v>7.2</v>
      </c>
    </row>
    <row r="323" spans="1:14" x14ac:dyDescent="0.25">
      <c r="A323">
        <v>23.1</v>
      </c>
      <c r="B323">
        <v>0.18159</v>
      </c>
      <c r="C323">
        <v>0</v>
      </c>
      <c r="D323">
        <v>7.38</v>
      </c>
      <c r="E323">
        <v>0</v>
      </c>
      <c r="F323">
        <v>0.49299999999999999</v>
      </c>
      <c r="G323">
        <v>6.3760000000000003</v>
      </c>
      <c r="H323">
        <v>54.3</v>
      </c>
      <c r="I323">
        <v>4.5404</v>
      </c>
      <c r="J323">
        <v>5</v>
      </c>
      <c r="K323">
        <v>287</v>
      </c>
      <c r="L323">
        <v>19.600000000000001</v>
      </c>
      <c r="M323">
        <v>396.9</v>
      </c>
      <c r="N323">
        <v>6.87</v>
      </c>
    </row>
    <row r="324" spans="1:14" x14ac:dyDescent="0.25">
      <c r="A324">
        <v>20.399999999999999</v>
      </c>
      <c r="B324">
        <v>0.35114000000000001</v>
      </c>
      <c r="C324">
        <v>0</v>
      </c>
      <c r="D324">
        <v>7.38</v>
      </c>
      <c r="E324">
        <v>0</v>
      </c>
      <c r="F324">
        <v>0.49299999999999999</v>
      </c>
      <c r="G324">
        <v>6.0410000000000004</v>
      </c>
      <c r="H324">
        <v>49.9</v>
      </c>
      <c r="I324">
        <v>4.7210999999999999</v>
      </c>
      <c r="J324">
        <v>5</v>
      </c>
      <c r="K324">
        <v>287</v>
      </c>
      <c r="L324">
        <v>19.600000000000001</v>
      </c>
      <c r="M324">
        <v>396.9</v>
      </c>
      <c r="N324">
        <v>7.7</v>
      </c>
    </row>
    <row r="325" spans="1:14" x14ac:dyDescent="0.25">
      <c r="A325">
        <v>18.5</v>
      </c>
      <c r="B325">
        <v>0.28392000000000001</v>
      </c>
      <c r="C325">
        <v>0</v>
      </c>
      <c r="D325">
        <v>7.38</v>
      </c>
      <c r="E325">
        <v>0</v>
      </c>
      <c r="F325">
        <v>0.49299999999999999</v>
      </c>
      <c r="G325">
        <v>5.7080000000000002</v>
      </c>
      <c r="H325">
        <v>74.3</v>
      </c>
      <c r="I325">
        <v>4.7210999999999999</v>
      </c>
      <c r="J325">
        <v>5</v>
      </c>
      <c r="K325">
        <v>287</v>
      </c>
      <c r="L325">
        <v>19.600000000000001</v>
      </c>
      <c r="M325">
        <v>391.13</v>
      </c>
      <c r="N325">
        <v>11.74</v>
      </c>
    </row>
    <row r="326" spans="1:14" x14ac:dyDescent="0.25">
      <c r="A326">
        <v>25</v>
      </c>
      <c r="B326">
        <v>0.34109</v>
      </c>
      <c r="C326">
        <v>0</v>
      </c>
      <c r="D326">
        <v>7.38</v>
      </c>
      <c r="E326">
        <v>0</v>
      </c>
      <c r="F326">
        <v>0.49299999999999999</v>
      </c>
      <c r="G326">
        <v>6.415</v>
      </c>
      <c r="H326">
        <v>40.1</v>
      </c>
      <c r="I326">
        <v>4.7210999999999999</v>
      </c>
      <c r="J326">
        <v>5</v>
      </c>
      <c r="K326">
        <v>287</v>
      </c>
      <c r="L326">
        <v>19.600000000000001</v>
      </c>
      <c r="M326">
        <v>396.9</v>
      </c>
      <c r="N326">
        <v>6.12</v>
      </c>
    </row>
    <row r="327" spans="1:14" x14ac:dyDescent="0.25">
      <c r="A327">
        <v>24.6</v>
      </c>
      <c r="B327">
        <v>0.19186</v>
      </c>
      <c r="C327">
        <v>0</v>
      </c>
      <c r="D327">
        <v>7.38</v>
      </c>
      <c r="E327">
        <v>0</v>
      </c>
      <c r="F327">
        <v>0.49299999999999999</v>
      </c>
      <c r="G327">
        <v>6.431</v>
      </c>
      <c r="H327">
        <v>14.7</v>
      </c>
      <c r="I327">
        <v>5.4158999999999997</v>
      </c>
      <c r="J327">
        <v>5</v>
      </c>
      <c r="K327">
        <v>287</v>
      </c>
      <c r="L327">
        <v>19.600000000000001</v>
      </c>
      <c r="M327">
        <v>393.68</v>
      </c>
      <c r="N327">
        <v>5.08</v>
      </c>
    </row>
    <row r="328" spans="1:14" x14ac:dyDescent="0.25">
      <c r="A328">
        <v>23</v>
      </c>
      <c r="B328">
        <v>0.30347000000000002</v>
      </c>
      <c r="C328">
        <v>0</v>
      </c>
      <c r="D328">
        <v>7.38</v>
      </c>
      <c r="E328">
        <v>0</v>
      </c>
      <c r="F328">
        <v>0.49299999999999999</v>
      </c>
      <c r="G328">
        <v>6.3120000000000003</v>
      </c>
      <c r="H328">
        <v>28.9</v>
      </c>
      <c r="I328">
        <v>5.4158999999999997</v>
      </c>
      <c r="J328">
        <v>5</v>
      </c>
      <c r="K328">
        <v>287</v>
      </c>
      <c r="L328">
        <v>19.600000000000001</v>
      </c>
      <c r="M328">
        <v>396.9</v>
      </c>
      <c r="N328">
        <v>6.15</v>
      </c>
    </row>
    <row r="329" spans="1:14" x14ac:dyDescent="0.25">
      <c r="A329">
        <v>22.2</v>
      </c>
      <c r="B329">
        <v>0.24102999999999999</v>
      </c>
      <c r="C329">
        <v>0</v>
      </c>
      <c r="D329">
        <v>7.38</v>
      </c>
      <c r="E329">
        <v>0</v>
      </c>
      <c r="F329">
        <v>0.49299999999999999</v>
      </c>
      <c r="G329">
        <v>6.0830000000000002</v>
      </c>
      <c r="H329">
        <v>43.7</v>
      </c>
      <c r="I329">
        <v>5.4158999999999997</v>
      </c>
      <c r="J329">
        <v>5</v>
      </c>
      <c r="K329">
        <v>287</v>
      </c>
      <c r="L329">
        <v>19.600000000000001</v>
      </c>
      <c r="M329">
        <v>396.9</v>
      </c>
      <c r="N329">
        <v>12.79</v>
      </c>
    </row>
    <row r="330" spans="1:14" x14ac:dyDescent="0.25">
      <c r="A330">
        <v>19.3</v>
      </c>
      <c r="B330">
        <v>6.6170000000000007E-2</v>
      </c>
      <c r="C330">
        <v>0</v>
      </c>
      <c r="D330">
        <v>3.24</v>
      </c>
      <c r="E330">
        <v>0</v>
      </c>
      <c r="F330">
        <v>0.46</v>
      </c>
      <c r="G330">
        <v>5.8680000000000003</v>
      </c>
      <c r="H330">
        <v>25.8</v>
      </c>
      <c r="I330">
        <v>5.2145999999999999</v>
      </c>
      <c r="J330">
        <v>4</v>
      </c>
      <c r="K330">
        <v>430</v>
      </c>
      <c r="L330">
        <v>16.899999999999999</v>
      </c>
      <c r="M330">
        <v>382.44</v>
      </c>
      <c r="N330">
        <v>9.9700000000000006</v>
      </c>
    </row>
    <row r="331" spans="1:14" x14ac:dyDescent="0.25">
      <c r="A331">
        <v>22.6</v>
      </c>
      <c r="B331">
        <v>6.7239999999999994E-2</v>
      </c>
      <c r="C331">
        <v>0</v>
      </c>
      <c r="D331">
        <v>3.24</v>
      </c>
      <c r="E331">
        <v>0</v>
      </c>
      <c r="F331">
        <v>0.46</v>
      </c>
      <c r="G331">
        <v>6.3330000000000002</v>
      </c>
      <c r="H331">
        <v>17.2</v>
      </c>
      <c r="I331">
        <v>5.2145999999999999</v>
      </c>
      <c r="J331">
        <v>4</v>
      </c>
      <c r="K331">
        <v>430</v>
      </c>
      <c r="L331">
        <v>16.899999999999999</v>
      </c>
      <c r="M331">
        <v>375.21</v>
      </c>
      <c r="N331">
        <v>7.34</v>
      </c>
    </row>
    <row r="332" spans="1:14" x14ac:dyDescent="0.25">
      <c r="A332">
        <v>19.8</v>
      </c>
      <c r="B332">
        <v>4.5440000000000001E-2</v>
      </c>
      <c r="C332">
        <v>0</v>
      </c>
      <c r="D332">
        <v>3.24</v>
      </c>
      <c r="E332">
        <v>0</v>
      </c>
      <c r="F332">
        <v>0.46</v>
      </c>
      <c r="G332">
        <v>6.1440000000000001</v>
      </c>
      <c r="H332">
        <v>32.200000000000003</v>
      </c>
      <c r="I332">
        <v>5.8735999999999997</v>
      </c>
      <c r="J332">
        <v>4</v>
      </c>
      <c r="K332">
        <v>430</v>
      </c>
      <c r="L332">
        <v>16.899999999999999</v>
      </c>
      <c r="M332">
        <v>368.57</v>
      </c>
      <c r="N332">
        <v>9.09</v>
      </c>
    </row>
    <row r="333" spans="1:14" x14ac:dyDescent="0.25">
      <c r="A333">
        <v>17.100000000000001</v>
      </c>
      <c r="B333">
        <v>5.0229999999999997E-2</v>
      </c>
      <c r="C333">
        <v>35</v>
      </c>
      <c r="D333">
        <v>6.06</v>
      </c>
      <c r="E333">
        <v>0</v>
      </c>
      <c r="F333">
        <v>0.43790000000000001</v>
      </c>
      <c r="G333">
        <v>5.7060000000000004</v>
      </c>
      <c r="H333">
        <v>28.4</v>
      </c>
      <c r="I333">
        <v>6.6406999999999998</v>
      </c>
      <c r="J333">
        <v>1</v>
      </c>
      <c r="K333">
        <v>304</v>
      </c>
      <c r="L333">
        <v>16.899999999999999</v>
      </c>
      <c r="M333">
        <v>394.02</v>
      </c>
      <c r="N333">
        <v>12.43</v>
      </c>
    </row>
    <row r="334" spans="1:14" x14ac:dyDescent="0.25">
      <c r="A334">
        <v>19.399999999999999</v>
      </c>
      <c r="B334">
        <v>3.4660000000000003E-2</v>
      </c>
      <c r="C334">
        <v>35</v>
      </c>
      <c r="D334">
        <v>6.06</v>
      </c>
      <c r="E334">
        <v>0</v>
      </c>
      <c r="F334">
        <v>0.43790000000000001</v>
      </c>
      <c r="G334">
        <v>6.0309999999999997</v>
      </c>
      <c r="H334">
        <v>23.3</v>
      </c>
      <c r="I334">
        <v>6.6406999999999998</v>
      </c>
      <c r="J334">
        <v>1</v>
      </c>
      <c r="K334">
        <v>304</v>
      </c>
      <c r="L334">
        <v>16.899999999999999</v>
      </c>
      <c r="M334">
        <v>362.25</v>
      </c>
      <c r="N334">
        <v>7.83</v>
      </c>
    </row>
    <row r="335" spans="1:14" x14ac:dyDescent="0.25">
      <c r="A335">
        <v>22.2</v>
      </c>
      <c r="B335">
        <v>5.083E-2</v>
      </c>
      <c r="C335">
        <v>0</v>
      </c>
      <c r="D335">
        <v>5.19</v>
      </c>
      <c r="E335">
        <v>0</v>
      </c>
      <c r="F335">
        <v>0.51500000000000001</v>
      </c>
      <c r="G335">
        <v>6.3159999999999998</v>
      </c>
      <c r="H335">
        <v>38.1</v>
      </c>
      <c r="I335">
        <v>6.4584000000000001</v>
      </c>
      <c r="J335">
        <v>5</v>
      </c>
      <c r="K335">
        <v>224</v>
      </c>
      <c r="L335">
        <v>20.2</v>
      </c>
      <c r="M335">
        <v>389.71</v>
      </c>
      <c r="N335">
        <v>5.68</v>
      </c>
    </row>
    <row r="336" spans="1:14" x14ac:dyDescent="0.25">
      <c r="A336">
        <v>20.7</v>
      </c>
      <c r="B336">
        <v>3.7379999999999997E-2</v>
      </c>
      <c r="C336">
        <v>0</v>
      </c>
      <c r="D336">
        <v>5.19</v>
      </c>
      <c r="E336">
        <v>0</v>
      </c>
      <c r="F336">
        <v>0.51500000000000001</v>
      </c>
      <c r="G336">
        <v>6.31</v>
      </c>
      <c r="H336">
        <v>38.5</v>
      </c>
      <c r="I336">
        <v>6.4584000000000001</v>
      </c>
      <c r="J336">
        <v>5</v>
      </c>
      <c r="K336">
        <v>224</v>
      </c>
      <c r="L336">
        <v>20.2</v>
      </c>
      <c r="M336">
        <v>389.4</v>
      </c>
      <c r="N336">
        <v>6.75</v>
      </c>
    </row>
    <row r="337" spans="1:14" x14ac:dyDescent="0.25">
      <c r="A337">
        <v>21.1</v>
      </c>
      <c r="B337">
        <v>3.9609999999999999E-2</v>
      </c>
      <c r="C337">
        <v>0</v>
      </c>
      <c r="D337">
        <v>5.19</v>
      </c>
      <c r="E337">
        <v>0</v>
      </c>
      <c r="F337">
        <v>0.51500000000000001</v>
      </c>
      <c r="G337">
        <v>6.0369999999999999</v>
      </c>
      <c r="H337">
        <v>34.5</v>
      </c>
      <c r="I337">
        <v>5.9852999999999996</v>
      </c>
      <c r="J337">
        <v>5</v>
      </c>
      <c r="K337">
        <v>224</v>
      </c>
      <c r="L337">
        <v>20.2</v>
      </c>
      <c r="M337">
        <v>396.9</v>
      </c>
      <c r="N337">
        <v>8.01</v>
      </c>
    </row>
    <row r="338" spans="1:14" x14ac:dyDescent="0.25">
      <c r="A338">
        <v>19.5</v>
      </c>
      <c r="B338">
        <v>3.4270000000000002E-2</v>
      </c>
      <c r="C338">
        <v>0</v>
      </c>
      <c r="D338">
        <v>5.19</v>
      </c>
      <c r="E338">
        <v>0</v>
      </c>
      <c r="F338">
        <v>0.51500000000000001</v>
      </c>
      <c r="G338">
        <v>5.8689999999999998</v>
      </c>
      <c r="H338">
        <v>46.3</v>
      </c>
      <c r="I338">
        <v>5.2310999999999996</v>
      </c>
      <c r="J338">
        <v>5</v>
      </c>
      <c r="K338">
        <v>224</v>
      </c>
      <c r="L338">
        <v>20.2</v>
      </c>
      <c r="M338">
        <v>396.9</v>
      </c>
      <c r="N338">
        <v>9.8000000000000007</v>
      </c>
    </row>
    <row r="339" spans="1:14" x14ac:dyDescent="0.25">
      <c r="A339">
        <v>18.5</v>
      </c>
      <c r="B339">
        <v>3.041E-2</v>
      </c>
      <c r="C339">
        <v>0</v>
      </c>
      <c r="D339">
        <v>5.19</v>
      </c>
      <c r="E339">
        <v>0</v>
      </c>
      <c r="F339">
        <v>0.51500000000000001</v>
      </c>
      <c r="G339">
        <v>5.8949999999999996</v>
      </c>
      <c r="H339">
        <v>59.6</v>
      </c>
      <c r="I339">
        <v>5.6150000000000002</v>
      </c>
      <c r="J339">
        <v>5</v>
      </c>
      <c r="K339">
        <v>224</v>
      </c>
      <c r="L339">
        <v>20.2</v>
      </c>
      <c r="M339">
        <v>394.81</v>
      </c>
      <c r="N339">
        <v>10.56</v>
      </c>
    </row>
    <row r="340" spans="1:14" x14ac:dyDescent="0.25">
      <c r="A340">
        <v>20.6</v>
      </c>
      <c r="B340">
        <v>3.3059999999999999E-2</v>
      </c>
      <c r="C340">
        <v>0</v>
      </c>
      <c r="D340">
        <v>5.19</v>
      </c>
      <c r="E340">
        <v>0</v>
      </c>
      <c r="F340">
        <v>0.51500000000000001</v>
      </c>
      <c r="G340">
        <v>6.0590000000000002</v>
      </c>
      <c r="H340">
        <v>37.299999999999997</v>
      </c>
      <c r="I340">
        <v>4.8121999999999998</v>
      </c>
      <c r="J340">
        <v>5</v>
      </c>
      <c r="K340">
        <v>224</v>
      </c>
      <c r="L340">
        <v>20.2</v>
      </c>
      <c r="M340">
        <v>396.14</v>
      </c>
      <c r="N340">
        <v>8.51</v>
      </c>
    </row>
    <row r="341" spans="1:14" x14ac:dyDescent="0.25">
      <c r="A341">
        <v>19</v>
      </c>
      <c r="B341">
        <v>5.4969999999999998E-2</v>
      </c>
      <c r="C341">
        <v>0</v>
      </c>
      <c r="D341">
        <v>5.19</v>
      </c>
      <c r="E341">
        <v>0</v>
      </c>
      <c r="F341">
        <v>0.51500000000000001</v>
      </c>
      <c r="G341">
        <v>5.9850000000000003</v>
      </c>
      <c r="H341">
        <v>45.4</v>
      </c>
      <c r="I341">
        <v>4.8121999999999998</v>
      </c>
      <c r="J341">
        <v>5</v>
      </c>
      <c r="K341">
        <v>224</v>
      </c>
      <c r="L341">
        <v>20.2</v>
      </c>
      <c r="M341">
        <v>396.9</v>
      </c>
      <c r="N341">
        <v>9.74</v>
      </c>
    </row>
    <row r="342" spans="1:14" x14ac:dyDescent="0.25">
      <c r="A342">
        <v>18.7</v>
      </c>
      <c r="B342">
        <v>6.1510000000000002E-2</v>
      </c>
      <c r="C342">
        <v>0</v>
      </c>
      <c r="D342">
        <v>5.19</v>
      </c>
      <c r="E342">
        <v>0</v>
      </c>
      <c r="F342">
        <v>0.51500000000000001</v>
      </c>
      <c r="G342">
        <v>5.968</v>
      </c>
      <c r="H342">
        <v>58.5</v>
      </c>
      <c r="I342">
        <v>4.8121999999999998</v>
      </c>
      <c r="J342">
        <v>5</v>
      </c>
      <c r="K342">
        <v>224</v>
      </c>
      <c r="L342">
        <v>20.2</v>
      </c>
      <c r="M342">
        <v>396.9</v>
      </c>
      <c r="N342">
        <v>9.2899999999999991</v>
      </c>
    </row>
    <row r="343" spans="1:14" x14ac:dyDescent="0.25">
      <c r="A343">
        <v>32.700000000000003</v>
      </c>
      <c r="B343">
        <v>1.3010000000000001E-2</v>
      </c>
      <c r="C343">
        <v>35</v>
      </c>
      <c r="D343">
        <v>1.52</v>
      </c>
      <c r="E343">
        <v>0</v>
      </c>
      <c r="F343">
        <v>0.442</v>
      </c>
      <c r="G343">
        <v>7.2409999999999997</v>
      </c>
      <c r="H343">
        <v>49.3</v>
      </c>
      <c r="I343">
        <v>7.0378999999999996</v>
      </c>
      <c r="J343">
        <v>1</v>
      </c>
      <c r="K343">
        <v>284</v>
      </c>
      <c r="L343">
        <v>15.5</v>
      </c>
      <c r="M343">
        <v>394.74</v>
      </c>
      <c r="N343">
        <v>5.49</v>
      </c>
    </row>
    <row r="344" spans="1:14" x14ac:dyDescent="0.25">
      <c r="A344">
        <v>16.5</v>
      </c>
      <c r="B344">
        <v>2.4979999999999999E-2</v>
      </c>
      <c r="C344">
        <v>0</v>
      </c>
      <c r="D344">
        <v>1.89</v>
      </c>
      <c r="E344">
        <v>0</v>
      </c>
      <c r="F344">
        <v>0.51800000000000002</v>
      </c>
      <c r="G344">
        <v>6.54</v>
      </c>
      <c r="H344">
        <v>59.7</v>
      </c>
      <c r="I344">
        <v>6.2668999999999997</v>
      </c>
      <c r="J344">
        <v>1</v>
      </c>
      <c r="K344">
        <v>422</v>
      </c>
      <c r="L344">
        <v>15.9</v>
      </c>
      <c r="M344">
        <v>389.96</v>
      </c>
      <c r="N344">
        <v>8.65</v>
      </c>
    </row>
    <row r="345" spans="1:14" x14ac:dyDescent="0.25">
      <c r="A345">
        <v>23.9</v>
      </c>
      <c r="B345">
        <v>2.5430000000000001E-2</v>
      </c>
      <c r="C345">
        <v>55</v>
      </c>
      <c r="D345">
        <v>3.78</v>
      </c>
      <c r="E345">
        <v>0</v>
      </c>
      <c r="F345">
        <v>0.48399999999999999</v>
      </c>
      <c r="G345">
        <v>6.6959999999999997</v>
      </c>
      <c r="H345">
        <v>56.4</v>
      </c>
      <c r="I345">
        <v>5.7321</v>
      </c>
      <c r="J345">
        <v>5</v>
      </c>
      <c r="K345">
        <v>370</v>
      </c>
      <c r="L345">
        <v>17.600000000000001</v>
      </c>
      <c r="M345">
        <v>396.9</v>
      </c>
      <c r="N345">
        <v>7.18</v>
      </c>
    </row>
    <row r="346" spans="1:14" x14ac:dyDescent="0.25">
      <c r="A346">
        <v>31.2</v>
      </c>
      <c r="B346">
        <v>3.049E-2</v>
      </c>
      <c r="C346">
        <v>55</v>
      </c>
      <c r="D346">
        <v>3.78</v>
      </c>
      <c r="E346">
        <v>0</v>
      </c>
      <c r="F346">
        <v>0.48399999999999999</v>
      </c>
      <c r="G346">
        <v>6.8739999999999997</v>
      </c>
      <c r="H346">
        <v>28.1</v>
      </c>
      <c r="I346">
        <v>6.4653999999999998</v>
      </c>
      <c r="J346">
        <v>5</v>
      </c>
      <c r="K346">
        <v>370</v>
      </c>
      <c r="L346">
        <v>17.600000000000001</v>
      </c>
      <c r="M346">
        <v>387.97</v>
      </c>
      <c r="N346">
        <v>4.6100000000000003</v>
      </c>
    </row>
    <row r="347" spans="1:14" x14ac:dyDescent="0.25">
      <c r="A347">
        <v>17.5</v>
      </c>
      <c r="B347">
        <v>3.1130000000000001E-2</v>
      </c>
      <c r="C347">
        <v>0</v>
      </c>
      <c r="D347">
        <v>4.3899999999999997</v>
      </c>
      <c r="E347">
        <v>0</v>
      </c>
      <c r="F347">
        <v>0.442</v>
      </c>
      <c r="G347">
        <v>6.0140000000000002</v>
      </c>
      <c r="H347">
        <v>48.5</v>
      </c>
      <c r="I347">
        <v>8.0136000000000003</v>
      </c>
      <c r="J347">
        <v>3</v>
      </c>
      <c r="K347">
        <v>352</v>
      </c>
      <c r="L347">
        <v>18.8</v>
      </c>
      <c r="M347">
        <v>385.64</v>
      </c>
      <c r="N347">
        <v>10.53</v>
      </c>
    </row>
    <row r="348" spans="1:14" x14ac:dyDescent="0.25">
      <c r="A348">
        <v>17.2</v>
      </c>
      <c r="B348">
        <v>6.1620000000000001E-2</v>
      </c>
      <c r="C348">
        <v>0</v>
      </c>
      <c r="D348">
        <v>4.3899999999999997</v>
      </c>
      <c r="E348">
        <v>0</v>
      </c>
      <c r="F348">
        <v>0.442</v>
      </c>
      <c r="G348">
        <v>5.8979999999999997</v>
      </c>
      <c r="H348">
        <v>52.3</v>
      </c>
      <c r="I348">
        <v>8.0136000000000003</v>
      </c>
      <c r="J348">
        <v>3</v>
      </c>
      <c r="K348">
        <v>352</v>
      </c>
      <c r="L348">
        <v>18.8</v>
      </c>
      <c r="M348">
        <v>364.61</v>
      </c>
      <c r="N348">
        <v>12.67</v>
      </c>
    </row>
    <row r="349" spans="1:14" x14ac:dyDescent="0.25">
      <c r="A349">
        <v>23.1</v>
      </c>
      <c r="B349">
        <v>1.8700000000000001E-2</v>
      </c>
      <c r="C349">
        <v>85</v>
      </c>
      <c r="D349">
        <v>4.1500000000000004</v>
      </c>
      <c r="E349">
        <v>0</v>
      </c>
      <c r="F349">
        <v>0.42899999999999999</v>
      </c>
      <c r="G349">
        <v>6.516</v>
      </c>
      <c r="H349">
        <v>27.7</v>
      </c>
      <c r="I349">
        <v>8.5352999999999994</v>
      </c>
      <c r="J349">
        <v>4</v>
      </c>
      <c r="K349">
        <v>351</v>
      </c>
      <c r="L349">
        <v>17.899999999999999</v>
      </c>
      <c r="M349">
        <v>392.43</v>
      </c>
      <c r="N349">
        <v>6.36</v>
      </c>
    </row>
    <row r="350" spans="1:14" x14ac:dyDescent="0.25">
      <c r="A350">
        <v>24.5</v>
      </c>
      <c r="B350">
        <v>1.5010000000000001E-2</v>
      </c>
      <c r="C350">
        <v>80</v>
      </c>
      <c r="D350">
        <v>2.0099999999999998</v>
      </c>
      <c r="E350">
        <v>0</v>
      </c>
      <c r="F350">
        <v>0.435</v>
      </c>
      <c r="G350">
        <v>6.6349999999999998</v>
      </c>
      <c r="H350">
        <v>29.7</v>
      </c>
      <c r="I350">
        <v>8.3439999999999994</v>
      </c>
      <c r="J350">
        <v>4</v>
      </c>
      <c r="K350">
        <v>280</v>
      </c>
      <c r="L350">
        <v>17</v>
      </c>
      <c r="M350">
        <v>390.94</v>
      </c>
      <c r="N350">
        <v>5.99</v>
      </c>
    </row>
    <row r="351" spans="1:14" x14ac:dyDescent="0.25">
      <c r="A351">
        <v>26.6</v>
      </c>
      <c r="B351">
        <v>2.8989999999999998E-2</v>
      </c>
      <c r="C351">
        <v>40</v>
      </c>
      <c r="D351">
        <v>1.25</v>
      </c>
      <c r="E351">
        <v>0</v>
      </c>
      <c r="F351">
        <v>0.42899999999999999</v>
      </c>
      <c r="G351">
        <v>6.9390000000000001</v>
      </c>
      <c r="H351">
        <v>34.5</v>
      </c>
      <c r="I351">
        <v>8.7920999999999996</v>
      </c>
      <c r="J351">
        <v>1</v>
      </c>
      <c r="K351">
        <v>335</v>
      </c>
      <c r="L351">
        <v>19.7</v>
      </c>
      <c r="M351">
        <v>389.85</v>
      </c>
      <c r="N351">
        <v>5.89</v>
      </c>
    </row>
    <row r="352" spans="1:14" x14ac:dyDescent="0.25">
      <c r="A352">
        <v>22.9</v>
      </c>
      <c r="B352">
        <v>6.2109999999999999E-2</v>
      </c>
      <c r="C352">
        <v>40</v>
      </c>
      <c r="D352">
        <v>1.25</v>
      </c>
      <c r="E352">
        <v>0</v>
      </c>
      <c r="F352">
        <v>0.42899999999999999</v>
      </c>
      <c r="G352">
        <v>6.49</v>
      </c>
      <c r="H352">
        <v>44.4</v>
      </c>
      <c r="I352">
        <v>8.7920999999999996</v>
      </c>
      <c r="J352">
        <v>1</v>
      </c>
      <c r="K352">
        <v>335</v>
      </c>
      <c r="L352">
        <v>19.7</v>
      </c>
      <c r="M352">
        <v>396.9</v>
      </c>
      <c r="N352">
        <v>5.98</v>
      </c>
    </row>
    <row r="353" spans="1:14" x14ac:dyDescent="0.25">
      <c r="A353">
        <v>24.1</v>
      </c>
      <c r="B353">
        <v>7.9500000000000001E-2</v>
      </c>
      <c r="C353">
        <v>60</v>
      </c>
      <c r="D353">
        <v>1.69</v>
      </c>
      <c r="E353">
        <v>0</v>
      </c>
      <c r="F353">
        <v>0.41099999999999998</v>
      </c>
      <c r="G353">
        <v>6.5789999999999997</v>
      </c>
      <c r="H353">
        <v>35.9</v>
      </c>
      <c r="I353">
        <v>10.7103</v>
      </c>
      <c r="J353">
        <v>4</v>
      </c>
      <c r="K353">
        <v>411</v>
      </c>
      <c r="L353">
        <v>18.3</v>
      </c>
      <c r="M353">
        <v>370.78</v>
      </c>
      <c r="N353">
        <v>5.49</v>
      </c>
    </row>
    <row r="354" spans="1:14" x14ac:dyDescent="0.25">
      <c r="A354">
        <v>18.600000000000001</v>
      </c>
      <c r="B354">
        <v>7.2440000000000004E-2</v>
      </c>
      <c r="C354">
        <v>60</v>
      </c>
      <c r="D354">
        <v>1.69</v>
      </c>
      <c r="E354">
        <v>0</v>
      </c>
      <c r="F354">
        <v>0.41099999999999998</v>
      </c>
      <c r="G354">
        <v>5.8840000000000003</v>
      </c>
      <c r="H354">
        <v>18.5</v>
      </c>
      <c r="I354">
        <v>10.7103</v>
      </c>
      <c r="J354">
        <v>4</v>
      </c>
      <c r="K354">
        <v>411</v>
      </c>
      <c r="L354">
        <v>18.3</v>
      </c>
      <c r="M354">
        <v>392.33</v>
      </c>
      <c r="N354">
        <v>7.79</v>
      </c>
    </row>
    <row r="355" spans="1:14" x14ac:dyDescent="0.25">
      <c r="A355">
        <v>30.1</v>
      </c>
      <c r="B355">
        <v>1.7090000000000001E-2</v>
      </c>
      <c r="C355">
        <v>90</v>
      </c>
      <c r="D355">
        <v>2.02</v>
      </c>
      <c r="E355">
        <v>0</v>
      </c>
      <c r="F355">
        <v>0.41</v>
      </c>
      <c r="G355">
        <v>6.7279999999999998</v>
      </c>
      <c r="H355">
        <v>36.1</v>
      </c>
      <c r="I355">
        <v>12.1265</v>
      </c>
      <c r="J355">
        <v>5</v>
      </c>
      <c r="K355">
        <v>187</v>
      </c>
      <c r="L355">
        <v>17</v>
      </c>
      <c r="M355">
        <v>384.46</v>
      </c>
      <c r="N355">
        <v>4.5</v>
      </c>
    </row>
    <row r="356" spans="1:14" x14ac:dyDescent="0.25">
      <c r="A356">
        <v>18.2</v>
      </c>
      <c r="B356">
        <v>4.301E-2</v>
      </c>
      <c r="C356">
        <v>80</v>
      </c>
      <c r="D356">
        <v>1.91</v>
      </c>
      <c r="E356">
        <v>0</v>
      </c>
      <c r="F356">
        <v>0.41299999999999998</v>
      </c>
      <c r="G356">
        <v>5.6630000000000003</v>
      </c>
      <c r="H356">
        <v>21.9</v>
      </c>
      <c r="I356">
        <v>10.585699999999999</v>
      </c>
      <c r="J356">
        <v>4</v>
      </c>
      <c r="K356">
        <v>334</v>
      </c>
      <c r="L356">
        <v>22</v>
      </c>
      <c r="M356">
        <v>382.8</v>
      </c>
      <c r="N356">
        <v>8.0500000000000007</v>
      </c>
    </row>
    <row r="357" spans="1:14" x14ac:dyDescent="0.25">
      <c r="A357">
        <v>20.6</v>
      </c>
      <c r="B357">
        <v>0.10659</v>
      </c>
      <c r="C357">
        <v>80</v>
      </c>
      <c r="D357">
        <v>1.91</v>
      </c>
      <c r="E357">
        <v>0</v>
      </c>
      <c r="F357">
        <v>0.41299999999999998</v>
      </c>
      <c r="G357">
        <v>5.9359999999999999</v>
      </c>
      <c r="H357">
        <v>19.5</v>
      </c>
      <c r="I357">
        <v>10.585699999999999</v>
      </c>
      <c r="J357">
        <v>4</v>
      </c>
      <c r="K357">
        <v>334</v>
      </c>
      <c r="L357">
        <v>22</v>
      </c>
      <c r="M357">
        <v>376.04</v>
      </c>
      <c r="N357">
        <v>5.57</v>
      </c>
    </row>
    <row r="358" spans="1:14" x14ac:dyDescent="0.25">
      <c r="A358">
        <v>17.8</v>
      </c>
      <c r="B358">
        <v>8.9829600000000003</v>
      </c>
      <c r="C358">
        <v>0</v>
      </c>
      <c r="D358">
        <v>18.100000000000001</v>
      </c>
      <c r="E358">
        <v>1</v>
      </c>
      <c r="F358">
        <v>0.77</v>
      </c>
      <c r="G358">
        <v>6.2119999999999997</v>
      </c>
      <c r="H358">
        <v>97.4</v>
      </c>
      <c r="I358">
        <v>2.1221999999999999</v>
      </c>
      <c r="J358">
        <v>24</v>
      </c>
      <c r="K358">
        <v>666</v>
      </c>
      <c r="L358">
        <v>20.2</v>
      </c>
      <c r="M358">
        <v>377.73</v>
      </c>
      <c r="N358">
        <v>17.600000000000001</v>
      </c>
    </row>
    <row r="359" spans="1:14" x14ac:dyDescent="0.25">
      <c r="A359">
        <v>21.7</v>
      </c>
      <c r="B359">
        <v>3.8496999999999999</v>
      </c>
      <c r="C359">
        <v>0</v>
      </c>
      <c r="D359">
        <v>18.100000000000001</v>
      </c>
      <c r="E359">
        <v>1</v>
      </c>
      <c r="F359">
        <v>0.77</v>
      </c>
      <c r="G359">
        <v>6.3949999999999996</v>
      </c>
      <c r="H359">
        <v>91</v>
      </c>
      <c r="I359">
        <v>2.5051999999999999</v>
      </c>
      <c r="J359">
        <v>24</v>
      </c>
      <c r="K359">
        <v>666</v>
      </c>
      <c r="L359">
        <v>20.2</v>
      </c>
      <c r="M359">
        <v>391.34</v>
      </c>
      <c r="N359">
        <v>13.27</v>
      </c>
    </row>
    <row r="360" spans="1:14" x14ac:dyDescent="0.25">
      <c r="A360">
        <v>22.7</v>
      </c>
      <c r="B360">
        <v>5.2017699999999998</v>
      </c>
      <c r="C360">
        <v>0</v>
      </c>
      <c r="D360">
        <v>18.100000000000001</v>
      </c>
      <c r="E360">
        <v>1</v>
      </c>
      <c r="F360">
        <v>0.77</v>
      </c>
      <c r="G360">
        <v>6.1269999999999998</v>
      </c>
      <c r="H360">
        <v>83.4</v>
      </c>
      <c r="I360">
        <v>2.7227000000000001</v>
      </c>
      <c r="J360">
        <v>24</v>
      </c>
      <c r="K360">
        <v>666</v>
      </c>
      <c r="L360">
        <v>20.2</v>
      </c>
      <c r="M360">
        <v>395.43</v>
      </c>
      <c r="N360">
        <v>11.48</v>
      </c>
    </row>
    <row r="361" spans="1:14" x14ac:dyDescent="0.25">
      <c r="A361">
        <v>22.6</v>
      </c>
      <c r="B361">
        <v>4.2613099999999999</v>
      </c>
      <c r="C361">
        <v>0</v>
      </c>
      <c r="D361">
        <v>18.100000000000001</v>
      </c>
      <c r="E361">
        <v>0</v>
      </c>
      <c r="F361">
        <v>0.77</v>
      </c>
      <c r="G361">
        <v>6.1120000000000001</v>
      </c>
      <c r="H361">
        <v>81.3</v>
      </c>
      <c r="I361">
        <v>2.5091000000000001</v>
      </c>
      <c r="J361">
        <v>24</v>
      </c>
      <c r="K361">
        <v>666</v>
      </c>
      <c r="L361">
        <v>20.2</v>
      </c>
      <c r="M361">
        <v>390.74</v>
      </c>
      <c r="N361">
        <v>12.67</v>
      </c>
    </row>
    <row r="362" spans="1:14" x14ac:dyDescent="0.25">
      <c r="A362">
        <v>25</v>
      </c>
      <c r="B362">
        <v>4.5419200000000002</v>
      </c>
      <c r="C362">
        <v>0</v>
      </c>
      <c r="D362">
        <v>18.100000000000001</v>
      </c>
      <c r="E362">
        <v>0</v>
      </c>
      <c r="F362">
        <v>0.77</v>
      </c>
      <c r="G362">
        <v>6.3979999999999997</v>
      </c>
      <c r="H362">
        <v>88</v>
      </c>
      <c r="I362">
        <v>2.5182000000000002</v>
      </c>
      <c r="J362">
        <v>24</v>
      </c>
      <c r="K362">
        <v>666</v>
      </c>
      <c r="L362">
        <v>20.2</v>
      </c>
      <c r="M362">
        <v>374.56</v>
      </c>
      <c r="N362">
        <v>7.79</v>
      </c>
    </row>
    <row r="363" spans="1:14" x14ac:dyDescent="0.25">
      <c r="A363">
        <v>19.899999999999999</v>
      </c>
      <c r="B363">
        <v>3.83684</v>
      </c>
      <c r="C363">
        <v>0</v>
      </c>
      <c r="D363">
        <v>18.100000000000001</v>
      </c>
      <c r="E363">
        <v>0</v>
      </c>
      <c r="F363">
        <v>0.77</v>
      </c>
      <c r="G363">
        <v>6.2510000000000003</v>
      </c>
      <c r="H363">
        <v>91.1</v>
      </c>
      <c r="I363">
        <v>2.2955000000000001</v>
      </c>
      <c r="J363">
        <v>24</v>
      </c>
      <c r="K363">
        <v>666</v>
      </c>
      <c r="L363">
        <v>20.2</v>
      </c>
      <c r="M363">
        <v>350.65</v>
      </c>
      <c r="N363">
        <v>14.19</v>
      </c>
    </row>
    <row r="364" spans="1:14" x14ac:dyDescent="0.25">
      <c r="A364">
        <v>20.8</v>
      </c>
      <c r="B364">
        <v>3.67822</v>
      </c>
      <c r="C364">
        <v>0</v>
      </c>
      <c r="D364">
        <v>18.100000000000001</v>
      </c>
      <c r="E364">
        <v>0</v>
      </c>
      <c r="F364">
        <v>0.77</v>
      </c>
      <c r="G364">
        <v>5.3620000000000001</v>
      </c>
      <c r="H364">
        <v>96.2</v>
      </c>
      <c r="I364">
        <v>2.1036000000000001</v>
      </c>
      <c r="J364">
        <v>24</v>
      </c>
      <c r="K364">
        <v>666</v>
      </c>
      <c r="L364">
        <v>20.2</v>
      </c>
      <c r="M364">
        <v>380.79</v>
      </c>
      <c r="N364">
        <v>10.19</v>
      </c>
    </row>
    <row r="365" spans="1:14" x14ac:dyDescent="0.25">
      <c r="A365">
        <v>16.8</v>
      </c>
      <c r="B365">
        <v>4.2223899999999999</v>
      </c>
      <c r="C365">
        <v>0</v>
      </c>
      <c r="D365">
        <v>18.100000000000001</v>
      </c>
      <c r="E365">
        <v>1</v>
      </c>
      <c r="F365">
        <v>0.77</v>
      </c>
      <c r="G365">
        <v>5.8029999999999999</v>
      </c>
      <c r="H365">
        <v>89</v>
      </c>
      <c r="I365">
        <v>1.9047000000000001</v>
      </c>
      <c r="J365">
        <v>24</v>
      </c>
      <c r="K365">
        <v>666</v>
      </c>
      <c r="L365">
        <v>20.2</v>
      </c>
      <c r="M365">
        <v>353.04</v>
      </c>
      <c r="N365">
        <v>14.64</v>
      </c>
    </row>
    <row r="366" spans="1:14" x14ac:dyDescent="0.25">
      <c r="A366">
        <v>21.9</v>
      </c>
      <c r="B366">
        <v>3.4742799999999998</v>
      </c>
      <c r="C366">
        <v>0</v>
      </c>
      <c r="D366">
        <v>18.100000000000001</v>
      </c>
      <c r="E366">
        <v>1</v>
      </c>
      <c r="F366">
        <v>0.71799999999999997</v>
      </c>
      <c r="G366">
        <v>8.7799999999999994</v>
      </c>
      <c r="H366">
        <v>82.9</v>
      </c>
      <c r="I366">
        <v>1.9047000000000001</v>
      </c>
      <c r="J366">
        <v>24</v>
      </c>
      <c r="K366">
        <v>666</v>
      </c>
      <c r="L366">
        <v>20.2</v>
      </c>
      <c r="M366">
        <v>354.55</v>
      </c>
      <c r="N366">
        <v>5.29</v>
      </c>
    </row>
    <row r="367" spans="1:14" x14ac:dyDescent="0.25">
      <c r="A367">
        <v>27.5</v>
      </c>
      <c r="B367">
        <v>4.5558699999999996</v>
      </c>
      <c r="C367">
        <v>0</v>
      </c>
      <c r="D367">
        <v>18.100000000000001</v>
      </c>
      <c r="E367">
        <v>0</v>
      </c>
      <c r="F367">
        <v>0.71799999999999997</v>
      </c>
      <c r="G367">
        <v>3.5609999999999999</v>
      </c>
      <c r="H367">
        <v>87.9</v>
      </c>
      <c r="I367">
        <v>1.6132</v>
      </c>
      <c r="J367">
        <v>24</v>
      </c>
      <c r="K367">
        <v>666</v>
      </c>
      <c r="L367">
        <v>20.2</v>
      </c>
      <c r="M367">
        <v>354.7</v>
      </c>
      <c r="N367">
        <v>7.12</v>
      </c>
    </row>
    <row r="368" spans="1:14" x14ac:dyDescent="0.25">
      <c r="A368">
        <v>21.9</v>
      </c>
      <c r="B368">
        <v>3.6969500000000002</v>
      </c>
      <c r="C368">
        <v>0</v>
      </c>
      <c r="D368">
        <v>18.100000000000001</v>
      </c>
      <c r="E368">
        <v>0</v>
      </c>
      <c r="F368">
        <v>0.71799999999999997</v>
      </c>
      <c r="G368">
        <v>4.9630000000000001</v>
      </c>
      <c r="H368">
        <v>91.4</v>
      </c>
      <c r="I368">
        <v>1.7523</v>
      </c>
      <c r="J368">
        <v>24</v>
      </c>
      <c r="K368">
        <v>666</v>
      </c>
      <c r="L368">
        <v>20.2</v>
      </c>
      <c r="M368">
        <v>316.02999999999997</v>
      </c>
      <c r="N368">
        <v>14</v>
      </c>
    </row>
    <row r="369" spans="1:14" x14ac:dyDescent="0.25">
      <c r="A369">
        <v>23.1</v>
      </c>
      <c r="B369">
        <v>13.5222</v>
      </c>
      <c r="C369">
        <v>0</v>
      </c>
      <c r="D369">
        <v>18.100000000000001</v>
      </c>
      <c r="E369">
        <v>0</v>
      </c>
      <c r="F369">
        <v>0.63100000000000001</v>
      </c>
      <c r="G369">
        <v>3.863</v>
      </c>
      <c r="H369">
        <v>100</v>
      </c>
      <c r="I369">
        <v>1.5105999999999999</v>
      </c>
      <c r="J369">
        <v>24</v>
      </c>
      <c r="K369">
        <v>666</v>
      </c>
      <c r="L369">
        <v>20.2</v>
      </c>
      <c r="M369">
        <v>131.41999999999999</v>
      </c>
      <c r="N369">
        <v>13.33</v>
      </c>
    </row>
    <row r="370" spans="1:14" x14ac:dyDescent="0.25">
      <c r="A370">
        <v>50</v>
      </c>
      <c r="B370">
        <v>4.8982200000000002</v>
      </c>
      <c r="C370">
        <v>0</v>
      </c>
      <c r="D370">
        <v>18.100000000000001</v>
      </c>
      <c r="E370">
        <v>0</v>
      </c>
      <c r="F370">
        <v>0.63100000000000001</v>
      </c>
      <c r="G370">
        <v>4.97</v>
      </c>
      <c r="H370">
        <v>100</v>
      </c>
      <c r="I370">
        <v>1.3325</v>
      </c>
      <c r="J370">
        <v>24</v>
      </c>
      <c r="K370">
        <v>666</v>
      </c>
      <c r="L370">
        <v>20.2</v>
      </c>
      <c r="M370">
        <v>375.52</v>
      </c>
      <c r="N370">
        <v>3.26</v>
      </c>
    </row>
    <row r="371" spans="1:14" x14ac:dyDescent="0.25">
      <c r="A371">
        <v>50</v>
      </c>
      <c r="B371">
        <v>5.6699799999999998</v>
      </c>
      <c r="C371">
        <v>0</v>
      </c>
      <c r="D371">
        <v>18.100000000000001</v>
      </c>
      <c r="E371">
        <v>1</v>
      </c>
      <c r="F371">
        <v>0.63100000000000001</v>
      </c>
      <c r="G371">
        <v>6.6829999999999998</v>
      </c>
      <c r="H371">
        <v>96.8</v>
      </c>
      <c r="I371">
        <v>1.3567</v>
      </c>
      <c r="J371">
        <v>24</v>
      </c>
      <c r="K371">
        <v>666</v>
      </c>
      <c r="L371">
        <v>20.2</v>
      </c>
      <c r="M371">
        <v>375.33</v>
      </c>
      <c r="N371">
        <v>3.73</v>
      </c>
    </row>
    <row r="372" spans="1:14" x14ac:dyDescent="0.25">
      <c r="A372">
        <v>50</v>
      </c>
      <c r="B372">
        <v>6.5387599999999999</v>
      </c>
      <c r="C372">
        <v>0</v>
      </c>
      <c r="D372">
        <v>18.100000000000001</v>
      </c>
      <c r="E372">
        <v>1</v>
      </c>
      <c r="F372">
        <v>0.63100000000000001</v>
      </c>
      <c r="G372">
        <v>7.016</v>
      </c>
      <c r="H372">
        <v>97.5</v>
      </c>
      <c r="I372">
        <v>1.2023999999999999</v>
      </c>
      <c r="J372">
        <v>24</v>
      </c>
      <c r="K372">
        <v>666</v>
      </c>
      <c r="L372">
        <v>20.2</v>
      </c>
      <c r="M372">
        <v>392.05</v>
      </c>
      <c r="N372">
        <v>2.96</v>
      </c>
    </row>
    <row r="373" spans="1:14" x14ac:dyDescent="0.25">
      <c r="A373">
        <v>50</v>
      </c>
      <c r="B373">
        <v>9.2323000000000004</v>
      </c>
      <c r="C373">
        <v>0</v>
      </c>
      <c r="D373">
        <v>18.100000000000001</v>
      </c>
      <c r="E373">
        <v>0</v>
      </c>
      <c r="F373">
        <v>0.63100000000000001</v>
      </c>
      <c r="G373">
        <v>6.2160000000000002</v>
      </c>
      <c r="H373">
        <v>100</v>
      </c>
      <c r="I373">
        <v>1.1691</v>
      </c>
      <c r="J373">
        <v>24</v>
      </c>
      <c r="K373">
        <v>666</v>
      </c>
      <c r="L373">
        <v>20.2</v>
      </c>
      <c r="M373">
        <v>366.15</v>
      </c>
      <c r="N373">
        <v>9.5299999999999994</v>
      </c>
    </row>
    <row r="374" spans="1:14" x14ac:dyDescent="0.25">
      <c r="A374">
        <v>50</v>
      </c>
      <c r="B374">
        <v>8.2672500000000007</v>
      </c>
      <c r="C374">
        <v>0</v>
      </c>
      <c r="D374">
        <v>18.100000000000001</v>
      </c>
      <c r="E374">
        <v>1</v>
      </c>
      <c r="F374">
        <v>0.66800000000000004</v>
      </c>
      <c r="G374">
        <v>5.875</v>
      </c>
      <c r="H374">
        <v>89.6</v>
      </c>
      <c r="I374">
        <v>1.1295999999999999</v>
      </c>
      <c r="J374">
        <v>24</v>
      </c>
      <c r="K374">
        <v>666</v>
      </c>
      <c r="L374">
        <v>20.2</v>
      </c>
      <c r="M374">
        <v>347.88</v>
      </c>
      <c r="N374">
        <v>8.8800000000000008</v>
      </c>
    </row>
    <row r="375" spans="1:14" x14ac:dyDescent="0.25">
      <c r="A375">
        <v>13.8</v>
      </c>
      <c r="B375">
        <v>11.1081</v>
      </c>
      <c r="C375">
        <v>0</v>
      </c>
      <c r="D375">
        <v>18.100000000000001</v>
      </c>
      <c r="E375">
        <v>0</v>
      </c>
      <c r="F375">
        <v>0.66800000000000004</v>
      </c>
      <c r="G375">
        <v>4.9059999999999997</v>
      </c>
      <c r="H375">
        <v>100</v>
      </c>
      <c r="I375">
        <v>1.1741999999999999</v>
      </c>
      <c r="J375">
        <v>24</v>
      </c>
      <c r="K375">
        <v>666</v>
      </c>
      <c r="L375">
        <v>20.2</v>
      </c>
      <c r="M375">
        <v>396.9</v>
      </c>
      <c r="N375">
        <v>34.770000000000003</v>
      </c>
    </row>
    <row r="376" spans="1:14" x14ac:dyDescent="0.25">
      <c r="A376">
        <v>13.8</v>
      </c>
      <c r="B376">
        <v>18.498200000000001</v>
      </c>
      <c r="C376">
        <v>0</v>
      </c>
      <c r="D376">
        <v>18.100000000000001</v>
      </c>
      <c r="E376">
        <v>0</v>
      </c>
      <c r="F376">
        <v>0.66800000000000004</v>
      </c>
      <c r="G376">
        <v>4.1379999999999999</v>
      </c>
      <c r="H376">
        <v>100</v>
      </c>
      <c r="I376">
        <v>1.137</v>
      </c>
      <c r="J376">
        <v>24</v>
      </c>
      <c r="K376">
        <v>666</v>
      </c>
      <c r="L376">
        <v>20.2</v>
      </c>
      <c r="M376">
        <v>396.9</v>
      </c>
      <c r="N376">
        <v>37.97</v>
      </c>
    </row>
    <row r="377" spans="1:14" x14ac:dyDescent="0.25">
      <c r="A377">
        <v>15</v>
      </c>
      <c r="B377">
        <v>19.609100000000002</v>
      </c>
      <c r="C377">
        <v>0</v>
      </c>
      <c r="D377">
        <v>18.100000000000001</v>
      </c>
      <c r="E377">
        <v>0</v>
      </c>
      <c r="F377">
        <v>0.67100000000000004</v>
      </c>
      <c r="G377">
        <v>7.3129999999999997</v>
      </c>
      <c r="H377">
        <v>97.9</v>
      </c>
      <c r="I377">
        <v>1.3163</v>
      </c>
      <c r="J377">
        <v>24</v>
      </c>
      <c r="K377">
        <v>666</v>
      </c>
      <c r="L377">
        <v>20.2</v>
      </c>
      <c r="M377">
        <v>396.9</v>
      </c>
      <c r="N377">
        <v>13.44</v>
      </c>
    </row>
    <row r="378" spans="1:14" x14ac:dyDescent="0.25">
      <c r="A378">
        <v>13.9</v>
      </c>
      <c r="B378">
        <v>15.288</v>
      </c>
      <c r="C378">
        <v>0</v>
      </c>
      <c r="D378">
        <v>18.100000000000001</v>
      </c>
      <c r="E378">
        <v>0</v>
      </c>
      <c r="F378">
        <v>0.67100000000000004</v>
      </c>
      <c r="G378">
        <v>6.649</v>
      </c>
      <c r="H378">
        <v>93.3</v>
      </c>
      <c r="I378">
        <v>1.3449</v>
      </c>
      <c r="J378">
        <v>24</v>
      </c>
      <c r="K378">
        <v>666</v>
      </c>
      <c r="L378">
        <v>20.2</v>
      </c>
      <c r="M378">
        <v>363.02</v>
      </c>
      <c r="N378">
        <v>23.24</v>
      </c>
    </row>
    <row r="379" spans="1:14" x14ac:dyDescent="0.25">
      <c r="A379">
        <v>13.3</v>
      </c>
      <c r="B379">
        <v>9.8234899999999996</v>
      </c>
      <c r="C379">
        <v>0</v>
      </c>
      <c r="D379">
        <v>18.100000000000001</v>
      </c>
      <c r="E379">
        <v>0</v>
      </c>
      <c r="F379">
        <v>0.67100000000000004</v>
      </c>
      <c r="G379">
        <v>6.7939999999999996</v>
      </c>
      <c r="H379">
        <v>98.8</v>
      </c>
      <c r="I379">
        <v>1.3580000000000001</v>
      </c>
      <c r="J379">
        <v>24</v>
      </c>
      <c r="K379">
        <v>666</v>
      </c>
      <c r="L379">
        <v>20.2</v>
      </c>
      <c r="M379">
        <v>396.9</v>
      </c>
      <c r="N379">
        <v>21.24</v>
      </c>
    </row>
    <row r="380" spans="1:14" x14ac:dyDescent="0.25">
      <c r="A380">
        <v>13.1</v>
      </c>
      <c r="B380">
        <v>23.648199999999999</v>
      </c>
      <c r="C380">
        <v>0</v>
      </c>
      <c r="D380">
        <v>18.100000000000001</v>
      </c>
      <c r="E380">
        <v>0</v>
      </c>
      <c r="F380">
        <v>0.67100000000000004</v>
      </c>
      <c r="G380">
        <v>6.38</v>
      </c>
      <c r="H380">
        <v>96.2</v>
      </c>
      <c r="I380">
        <v>1.3861000000000001</v>
      </c>
      <c r="J380">
        <v>24</v>
      </c>
      <c r="K380">
        <v>666</v>
      </c>
      <c r="L380">
        <v>20.2</v>
      </c>
      <c r="M380">
        <v>396.9</v>
      </c>
      <c r="N380">
        <v>23.69</v>
      </c>
    </row>
    <row r="381" spans="1:14" x14ac:dyDescent="0.25">
      <c r="A381">
        <v>10.199999999999999</v>
      </c>
      <c r="B381">
        <v>17.866700000000002</v>
      </c>
      <c r="C381">
        <v>0</v>
      </c>
      <c r="D381">
        <v>18.100000000000001</v>
      </c>
      <c r="E381">
        <v>0</v>
      </c>
      <c r="F381">
        <v>0.67100000000000004</v>
      </c>
      <c r="G381">
        <v>6.2229999999999999</v>
      </c>
      <c r="H381">
        <v>100</v>
      </c>
      <c r="I381">
        <v>1.3861000000000001</v>
      </c>
      <c r="J381">
        <v>24</v>
      </c>
      <c r="K381">
        <v>666</v>
      </c>
      <c r="L381">
        <v>20.2</v>
      </c>
      <c r="M381">
        <v>393.74</v>
      </c>
      <c r="N381">
        <v>21.78</v>
      </c>
    </row>
    <row r="382" spans="1:14" x14ac:dyDescent="0.25">
      <c r="A382">
        <v>10.4</v>
      </c>
      <c r="B382">
        <v>88.976200000000006</v>
      </c>
      <c r="C382">
        <v>0</v>
      </c>
      <c r="D382">
        <v>18.100000000000001</v>
      </c>
      <c r="E382">
        <v>0</v>
      </c>
      <c r="F382">
        <v>0.67100000000000004</v>
      </c>
      <c r="G382">
        <v>6.968</v>
      </c>
      <c r="H382">
        <v>91.9</v>
      </c>
      <c r="I382">
        <v>1.4165000000000001</v>
      </c>
      <c r="J382">
        <v>24</v>
      </c>
      <c r="K382">
        <v>666</v>
      </c>
      <c r="L382">
        <v>20.2</v>
      </c>
      <c r="M382">
        <v>396.9</v>
      </c>
      <c r="N382">
        <v>17.21</v>
      </c>
    </row>
    <row r="383" spans="1:14" x14ac:dyDescent="0.25">
      <c r="A383">
        <v>10.9</v>
      </c>
      <c r="B383">
        <v>15.8744</v>
      </c>
      <c r="C383">
        <v>0</v>
      </c>
      <c r="D383">
        <v>18.100000000000001</v>
      </c>
      <c r="E383">
        <v>0</v>
      </c>
      <c r="F383">
        <v>0.67100000000000004</v>
      </c>
      <c r="G383">
        <v>6.5449999999999999</v>
      </c>
      <c r="H383">
        <v>99.1</v>
      </c>
      <c r="I383">
        <v>1.5192000000000001</v>
      </c>
      <c r="J383">
        <v>24</v>
      </c>
      <c r="K383">
        <v>666</v>
      </c>
      <c r="L383">
        <v>20.2</v>
      </c>
      <c r="M383">
        <v>396.9</v>
      </c>
      <c r="N383">
        <v>21.08</v>
      </c>
    </row>
    <row r="384" spans="1:14" x14ac:dyDescent="0.25">
      <c r="A384">
        <v>11.3</v>
      </c>
      <c r="B384">
        <v>9.1870200000000004</v>
      </c>
      <c r="C384">
        <v>0</v>
      </c>
      <c r="D384">
        <v>18.100000000000001</v>
      </c>
      <c r="E384">
        <v>0</v>
      </c>
      <c r="F384">
        <v>0.7</v>
      </c>
      <c r="G384">
        <v>5.5359999999999996</v>
      </c>
      <c r="H384">
        <v>100</v>
      </c>
      <c r="I384">
        <v>1.5804</v>
      </c>
      <c r="J384">
        <v>24</v>
      </c>
      <c r="K384">
        <v>666</v>
      </c>
      <c r="L384">
        <v>20.2</v>
      </c>
      <c r="M384">
        <v>396.9</v>
      </c>
      <c r="N384">
        <v>23.6</v>
      </c>
    </row>
    <row r="385" spans="1:14" x14ac:dyDescent="0.25">
      <c r="A385">
        <v>12.3</v>
      </c>
      <c r="B385">
        <v>7.9924799999999996</v>
      </c>
      <c r="C385">
        <v>0</v>
      </c>
      <c r="D385">
        <v>18.100000000000001</v>
      </c>
      <c r="E385">
        <v>0</v>
      </c>
      <c r="F385">
        <v>0.7</v>
      </c>
      <c r="G385">
        <v>5.52</v>
      </c>
      <c r="H385">
        <v>100</v>
      </c>
      <c r="I385">
        <v>1.5330999999999999</v>
      </c>
      <c r="J385">
        <v>24</v>
      </c>
      <c r="K385">
        <v>666</v>
      </c>
      <c r="L385">
        <v>20.2</v>
      </c>
      <c r="M385">
        <v>396.9</v>
      </c>
      <c r="N385">
        <v>24.56</v>
      </c>
    </row>
    <row r="386" spans="1:14" x14ac:dyDescent="0.25">
      <c r="A386">
        <v>8.8000000000000007</v>
      </c>
      <c r="B386">
        <v>20.084900000000001</v>
      </c>
      <c r="C386">
        <v>0</v>
      </c>
      <c r="D386">
        <v>18.100000000000001</v>
      </c>
      <c r="E386">
        <v>0</v>
      </c>
      <c r="F386">
        <v>0.7</v>
      </c>
      <c r="G386">
        <v>4.3680000000000003</v>
      </c>
      <c r="H386">
        <v>91.2</v>
      </c>
      <c r="I386">
        <v>1.4395</v>
      </c>
      <c r="J386">
        <v>24</v>
      </c>
      <c r="K386">
        <v>666</v>
      </c>
      <c r="L386">
        <v>20.2</v>
      </c>
      <c r="M386">
        <v>285.83</v>
      </c>
      <c r="N386">
        <v>30.63</v>
      </c>
    </row>
    <row r="387" spans="1:14" x14ac:dyDescent="0.25">
      <c r="A387">
        <v>7.2</v>
      </c>
      <c r="B387">
        <v>16.811800000000002</v>
      </c>
      <c r="C387">
        <v>0</v>
      </c>
      <c r="D387">
        <v>18.100000000000001</v>
      </c>
      <c r="E387">
        <v>0</v>
      </c>
      <c r="F387">
        <v>0.7</v>
      </c>
      <c r="G387">
        <v>5.2770000000000001</v>
      </c>
      <c r="H387">
        <v>98.1</v>
      </c>
      <c r="I387">
        <v>1.4260999999999999</v>
      </c>
      <c r="J387">
        <v>24</v>
      </c>
      <c r="K387">
        <v>666</v>
      </c>
      <c r="L387">
        <v>20.2</v>
      </c>
      <c r="M387">
        <v>396.9</v>
      </c>
      <c r="N387">
        <v>30.81</v>
      </c>
    </row>
    <row r="388" spans="1:14" x14ac:dyDescent="0.25">
      <c r="A388">
        <v>10.5</v>
      </c>
      <c r="B388">
        <v>24.393799999999999</v>
      </c>
      <c r="C388">
        <v>0</v>
      </c>
      <c r="D388">
        <v>18.100000000000001</v>
      </c>
      <c r="E388">
        <v>0</v>
      </c>
      <c r="F388">
        <v>0.7</v>
      </c>
      <c r="G388">
        <v>4.6520000000000001</v>
      </c>
      <c r="H388">
        <v>100</v>
      </c>
      <c r="I388">
        <v>1.4672000000000001</v>
      </c>
      <c r="J388">
        <v>24</v>
      </c>
      <c r="K388">
        <v>666</v>
      </c>
      <c r="L388">
        <v>20.2</v>
      </c>
      <c r="M388">
        <v>396.9</v>
      </c>
      <c r="N388">
        <v>28.28</v>
      </c>
    </row>
    <row r="389" spans="1:14" x14ac:dyDescent="0.25">
      <c r="A389">
        <v>7.4</v>
      </c>
      <c r="B389">
        <v>22.597100000000001</v>
      </c>
      <c r="C389">
        <v>0</v>
      </c>
      <c r="D389">
        <v>18.100000000000001</v>
      </c>
      <c r="E389">
        <v>0</v>
      </c>
      <c r="F389">
        <v>0.7</v>
      </c>
      <c r="G389">
        <v>5</v>
      </c>
      <c r="H389">
        <v>89.5</v>
      </c>
      <c r="I389">
        <v>1.5184</v>
      </c>
      <c r="J389">
        <v>24</v>
      </c>
      <c r="K389">
        <v>666</v>
      </c>
      <c r="L389">
        <v>20.2</v>
      </c>
      <c r="M389">
        <v>396.9</v>
      </c>
      <c r="N389">
        <v>31.99</v>
      </c>
    </row>
    <row r="390" spans="1:14" x14ac:dyDescent="0.25">
      <c r="A390">
        <v>10.199999999999999</v>
      </c>
      <c r="B390">
        <v>14.3337</v>
      </c>
      <c r="C390">
        <v>0</v>
      </c>
      <c r="D390">
        <v>18.100000000000001</v>
      </c>
      <c r="E390">
        <v>0</v>
      </c>
      <c r="F390">
        <v>0.7</v>
      </c>
      <c r="G390">
        <v>4.88</v>
      </c>
      <c r="H390">
        <v>100</v>
      </c>
      <c r="I390">
        <v>1.5894999999999999</v>
      </c>
      <c r="J390">
        <v>24</v>
      </c>
      <c r="K390">
        <v>666</v>
      </c>
      <c r="L390">
        <v>20.2</v>
      </c>
      <c r="M390">
        <v>372.92</v>
      </c>
      <c r="N390">
        <v>30.62</v>
      </c>
    </row>
    <row r="391" spans="1:14" x14ac:dyDescent="0.25">
      <c r="A391">
        <v>11.5</v>
      </c>
      <c r="B391">
        <v>8.1517400000000002</v>
      </c>
      <c r="C391">
        <v>0</v>
      </c>
      <c r="D391">
        <v>18.100000000000001</v>
      </c>
      <c r="E391">
        <v>0</v>
      </c>
      <c r="F391">
        <v>0.7</v>
      </c>
      <c r="G391">
        <v>5.39</v>
      </c>
      <c r="H391">
        <v>98.9</v>
      </c>
      <c r="I391">
        <v>1.7281</v>
      </c>
      <c r="J391">
        <v>24</v>
      </c>
      <c r="K391">
        <v>666</v>
      </c>
      <c r="L391">
        <v>20.2</v>
      </c>
      <c r="M391">
        <v>396.9</v>
      </c>
      <c r="N391">
        <v>20.85</v>
      </c>
    </row>
    <row r="392" spans="1:14" x14ac:dyDescent="0.25">
      <c r="A392">
        <v>15.1</v>
      </c>
      <c r="B392">
        <v>6.9621500000000003</v>
      </c>
      <c r="C392">
        <v>0</v>
      </c>
      <c r="D392">
        <v>18.100000000000001</v>
      </c>
      <c r="E392">
        <v>0</v>
      </c>
      <c r="F392">
        <v>0.7</v>
      </c>
      <c r="G392">
        <v>5.7130000000000001</v>
      </c>
      <c r="H392">
        <v>97</v>
      </c>
      <c r="I392">
        <v>1.9265000000000001</v>
      </c>
      <c r="J392">
        <v>24</v>
      </c>
      <c r="K392">
        <v>666</v>
      </c>
      <c r="L392">
        <v>20.2</v>
      </c>
      <c r="M392">
        <v>394.43</v>
      </c>
      <c r="N392">
        <v>17.11</v>
      </c>
    </row>
    <row r="393" spans="1:14" x14ac:dyDescent="0.25">
      <c r="A393">
        <v>23.2</v>
      </c>
      <c r="B393">
        <v>5.29305</v>
      </c>
      <c r="C393">
        <v>0</v>
      </c>
      <c r="D393">
        <v>18.100000000000001</v>
      </c>
      <c r="E393">
        <v>0</v>
      </c>
      <c r="F393">
        <v>0.7</v>
      </c>
      <c r="G393">
        <v>6.0510000000000002</v>
      </c>
      <c r="H393">
        <v>82.5</v>
      </c>
      <c r="I393">
        <v>2.1678000000000002</v>
      </c>
      <c r="J393">
        <v>24</v>
      </c>
      <c r="K393">
        <v>666</v>
      </c>
      <c r="L393">
        <v>20.2</v>
      </c>
      <c r="M393">
        <v>378.38</v>
      </c>
      <c r="N393">
        <v>18.760000000000002</v>
      </c>
    </row>
    <row r="394" spans="1:14" x14ac:dyDescent="0.25">
      <c r="A394">
        <v>9.6999999999999993</v>
      </c>
      <c r="B394">
        <v>11.5779</v>
      </c>
      <c r="C394">
        <v>0</v>
      </c>
      <c r="D394">
        <v>18.100000000000001</v>
      </c>
      <c r="E394">
        <v>0</v>
      </c>
      <c r="F394">
        <v>0.7</v>
      </c>
      <c r="G394">
        <v>5.0359999999999996</v>
      </c>
      <c r="H394">
        <v>97</v>
      </c>
      <c r="I394">
        <v>1.77</v>
      </c>
      <c r="J394">
        <v>24</v>
      </c>
      <c r="K394">
        <v>666</v>
      </c>
      <c r="L394">
        <v>20.2</v>
      </c>
      <c r="M394">
        <v>396.9</v>
      </c>
      <c r="N394">
        <v>25.68</v>
      </c>
    </row>
    <row r="395" spans="1:14" x14ac:dyDescent="0.25">
      <c r="A395">
        <v>13.8</v>
      </c>
      <c r="B395">
        <v>8.6447599999999998</v>
      </c>
      <c r="C395">
        <v>0</v>
      </c>
      <c r="D395">
        <v>18.100000000000001</v>
      </c>
      <c r="E395">
        <v>0</v>
      </c>
      <c r="F395">
        <v>0.69299999999999995</v>
      </c>
      <c r="G395">
        <v>6.1929999999999996</v>
      </c>
      <c r="H395">
        <v>92.6</v>
      </c>
      <c r="I395">
        <v>1.7911999999999999</v>
      </c>
      <c r="J395">
        <v>24</v>
      </c>
      <c r="K395">
        <v>666</v>
      </c>
      <c r="L395">
        <v>20.2</v>
      </c>
      <c r="M395">
        <v>396.9</v>
      </c>
      <c r="N395">
        <v>15.17</v>
      </c>
    </row>
    <row r="396" spans="1:14" x14ac:dyDescent="0.25">
      <c r="A396">
        <v>12.7</v>
      </c>
      <c r="B396">
        <v>13.3598</v>
      </c>
      <c r="C396">
        <v>0</v>
      </c>
      <c r="D396">
        <v>18.100000000000001</v>
      </c>
      <c r="E396">
        <v>0</v>
      </c>
      <c r="F396">
        <v>0.69299999999999995</v>
      </c>
      <c r="G396">
        <v>5.8869999999999996</v>
      </c>
      <c r="H396">
        <v>94.7</v>
      </c>
      <c r="I396">
        <v>1.7821</v>
      </c>
      <c r="J396">
        <v>24</v>
      </c>
      <c r="K396">
        <v>666</v>
      </c>
      <c r="L396">
        <v>20.2</v>
      </c>
      <c r="M396">
        <v>396.9</v>
      </c>
      <c r="N396">
        <v>16.350000000000001</v>
      </c>
    </row>
    <row r="397" spans="1:14" x14ac:dyDescent="0.25">
      <c r="A397">
        <v>13.1</v>
      </c>
      <c r="B397">
        <v>8.7167499999999993</v>
      </c>
      <c r="C397">
        <v>0</v>
      </c>
      <c r="D397">
        <v>18.100000000000001</v>
      </c>
      <c r="E397">
        <v>0</v>
      </c>
      <c r="F397">
        <v>0.69299999999999995</v>
      </c>
      <c r="G397">
        <v>6.4710000000000001</v>
      </c>
      <c r="H397">
        <v>98.8</v>
      </c>
      <c r="I397">
        <v>1.7257</v>
      </c>
      <c r="J397">
        <v>24</v>
      </c>
      <c r="K397">
        <v>666</v>
      </c>
      <c r="L397">
        <v>20.2</v>
      </c>
      <c r="M397">
        <v>391.98</v>
      </c>
      <c r="N397">
        <v>17.12</v>
      </c>
    </row>
    <row r="398" spans="1:14" x14ac:dyDescent="0.25">
      <c r="A398">
        <v>12.5</v>
      </c>
      <c r="B398">
        <v>5.8720499999999998</v>
      </c>
      <c r="C398">
        <v>0</v>
      </c>
      <c r="D398">
        <v>18.100000000000001</v>
      </c>
      <c r="E398">
        <v>0</v>
      </c>
      <c r="F398">
        <v>0.69299999999999995</v>
      </c>
      <c r="G398">
        <v>6.4050000000000002</v>
      </c>
      <c r="H398">
        <v>96</v>
      </c>
      <c r="I398">
        <v>1.6768000000000001</v>
      </c>
      <c r="J398">
        <v>24</v>
      </c>
      <c r="K398">
        <v>666</v>
      </c>
      <c r="L398">
        <v>20.2</v>
      </c>
      <c r="M398">
        <v>396.9</v>
      </c>
      <c r="N398">
        <v>19.37</v>
      </c>
    </row>
    <row r="399" spans="1:14" x14ac:dyDescent="0.25">
      <c r="A399">
        <v>8.5</v>
      </c>
      <c r="B399">
        <v>7.6720199999999998</v>
      </c>
      <c r="C399">
        <v>0</v>
      </c>
      <c r="D399">
        <v>18.100000000000001</v>
      </c>
      <c r="E399">
        <v>0</v>
      </c>
      <c r="F399">
        <v>0.69299999999999995</v>
      </c>
      <c r="G399">
        <v>5.7469999999999999</v>
      </c>
      <c r="H399">
        <v>98.9</v>
      </c>
      <c r="I399">
        <v>1.6334</v>
      </c>
      <c r="J399">
        <v>24</v>
      </c>
      <c r="K399">
        <v>666</v>
      </c>
      <c r="L399">
        <v>20.2</v>
      </c>
      <c r="M399">
        <v>393.1</v>
      </c>
      <c r="N399">
        <v>19.920000000000002</v>
      </c>
    </row>
    <row r="400" spans="1:14" x14ac:dyDescent="0.25">
      <c r="A400">
        <v>5</v>
      </c>
      <c r="B400">
        <v>38.351799999999997</v>
      </c>
      <c r="C400">
        <v>0</v>
      </c>
      <c r="D400">
        <v>18.100000000000001</v>
      </c>
      <c r="E400">
        <v>0</v>
      </c>
      <c r="F400">
        <v>0.69299999999999995</v>
      </c>
      <c r="G400">
        <v>5.4530000000000003</v>
      </c>
      <c r="H400">
        <v>100</v>
      </c>
      <c r="I400">
        <v>1.4896</v>
      </c>
      <c r="J400">
        <v>24</v>
      </c>
      <c r="K400">
        <v>666</v>
      </c>
      <c r="L400">
        <v>20.2</v>
      </c>
      <c r="M400">
        <v>396.9</v>
      </c>
      <c r="N400">
        <v>30.59</v>
      </c>
    </row>
    <row r="401" spans="1:14" x14ac:dyDescent="0.25">
      <c r="A401">
        <v>6.3</v>
      </c>
      <c r="B401">
        <v>9.9165500000000009</v>
      </c>
      <c r="C401">
        <v>0</v>
      </c>
      <c r="D401">
        <v>18.100000000000001</v>
      </c>
      <c r="E401">
        <v>0</v>
      </c>
      <c r="F401">
        <v>0.69299999999999995</v>
      </c>
      <c r="G401">
        <v>5.8520000000000003</v>
      </c>
      <c r="H401">
        <v>77.8</v>
      </c>
      <c r="I401">
        <v>1.5004</v>
      </c>
      <c r="J401">
        <v>24</v>
      </c>
      <c r="K401">
        <v>666</v>
      </c>
      <c r="L401">
        <v>20.2</v>
      </c>
      <c r="M401">
        <v>338.16</v>
      </c>
      <c r="N401">
        <v>29.97</v>
      </c>
    </row>
    <row r="402" spans="1:14" x14ac:dyDescent="0.25">
      <c r="A402">
        <v>5.6</v>
      </c>
      <c r="B402">
        <v>25.046099999999999</v>
      </c>
      <c r="C402">
        <v>0</v>
      </c>
      <c r="D402">
        <v>18.100000000000001</v>
      </c>
      <c r="E402">
        <v>0</v>
      </c>
      <c r="F402">
        <v>0.69299999999999995</v>
      </c>
      <c r="G402">
        <v>5.9870000000000001</v>
      </c>
      <c r="H402">
        <v>100</v>
      </c>
      <c r="I402">
        <v>1.5888</v>
      </c>
      <c r="J402">
        <v>24</v>
      </c>
      <c r="K402">
        <v>666</v>
      </c>
      <c r="L402">
        <v>20.2</v>
      </c>
      <c r="M402">
        <v>396.9</v>
      </c>
      <c r="N402">
        <v>26.77</v>
      </c>
    </row>
    <row r="403" spans="1:14" x14ac:dyDescent="0.25">
      <c r="A403">
        <v>7.2</v>
      </c>
      <c r="B403">
        <v>14.2362</v>
      </c>
      <c r="C403">
        <v>0</v>
      </c>
      <c r="D403">
        <v>18.100000000000001</v>
      </c>
      <c r="E403">
        <v>0</v>
      </c>
      <c r="F403">
        <v>0.69299999999999995</v>
      </c>
      <c r="G403">
        <v>6.343</v>
      </c>
      <c r="H403">
        <v>100</v>
      </c>
      <c r="I403">
        <v>1.5741000000000001</v>
      </c>
      <c r="J403">
        <v>24</v>
      </c>
      <c r="K403">
        <v>666</v>
      </c>
      <c r="L403">
        <v>20.2</v>
      </c>
      <c r="M403">
        <v>396.9</v>
      </c>
      <c r="N403">
        <v>20.32</v>
      </c>
    </row>
    <row r="404" spans="1:14" x14ac:dyDescent="0.25">
      <c r="A404">
        <v>12.1</v>
      </c>
      <c r="B404">
        <v>9.5957100000000004</v>
      </c>
      <c r="C404">
        <v>0</v>
      </c>
      <c r="D404">
        <v>18.100000000000001</v>
      </c>
      <c r="E404">
        <v>0</v>
      </c>
      <c r="F404">
        <v>0.69299999999999995</v>
      </c>
      <c r="G404">
        <v>6.4039999999999999</v>
      </c>
      <c r="H404">
        <v>100</v>
      </c>
      <c r="I404">
        <v>1.639</v>
      </c>
      <c r="J404">
        <v>24</v>
      </c>
      <c r="K404">
        <v>666</v>
      </c>
      <c r="L404">
        <v>20.2</v>
      </c>
      <c r="M404">
        <v>376.11</v>
      </c>
      <c r="N404">
        <v>20.309999999999999</v>
      </c>
    </row>
    <row r="405" spans="1:14" x14ac:dyDescent="0.25">
      <c r="A405">
        <v>8.3000000000000007</v>
      </c>
      <c r="B405">
        <v>24.8017</v>
      </c>
      <c r="C405">
        <v>0</v>
      </c>
      <c r="D405">
        <v>18.100000000000001</v>
      </c>
      <c r="E405">
        <v>0</v>
      </c>
      <c r="F405">
        <v>0.69299999999999995</v>
      </c>
      <c r="G405">
        <v>5.3490000000000002</v>
      </c>
      <c r="H405">
        <v>96</v>
      </c>
      <c r="I405">
        <v>1.7028000000000001</v>
      </c>
      <c r="J405">
        <v>24</v>
      </c>
      <c r="K405">
        <v>666</v>
      </c>
      <c r="L405">
        <v>20.2</v>
      </c>
      <c r="M405">
        <v>396.9</v>
      </c>
      <c r="N405">
        <v>19.77</v>
      </c>
    </row>
    <row r="406" spans="1:14" x14ac:dyDescent="0.25">
      <c r="A406">
        <v>8.5</v>
      </c>
      <c r="B406">
        <v>41.529200000000003</v>
      </c>
      <c r="C406">
        <v>0</v>
      </c>
      <c r="D406">
        <v>18.100000000000001</v>
      </c>
      <c r="E406">
        <v>0</v>
      </c>
      <c r="F406">
        <v>0.69299999999999995</v>
      </c>
      <c r="G406">
        <v>5.5309999999999997</v>
      </c>
      <c r="H406">
        <v>85.4</v>
      </c>
      <c r="I406">
        <v>1.6073999999999999</v>
      </c>
      <c r="J406">
        <v>24</v>
      </c>
      <c r="K406">
        <v>666</v>
      </c>
      <c r="L406">
        <v>20.2</v>
      </c>
      <c r="M406">
        <v>329.46</v>
      </c>
      <c r="N406">
        <v>27.38</v>
      </c>
    </row>
    <row r="407" spans="1:14" x14ac:dyDescent="0.25">
      <c r="A407">
        <v>5</v>
      </c>
      <c r="B407">
        <v>67.9208</v>
      </c>
      <c r="C407">
        <v>0</v>
      </c>
      <c r="D407">
        <v>18.100000000000001</v>
      </c>
      <c r="E407">
        <v>0</v>
      </c>
      <c r="F407">
        <v>0.69299999999999995</v>
      </c>
      <c r="G407">
        <v>5.6829999999999998</v>
      </c>
      <c r="H407">
        <v>100</v>
      </c>
      <c r="I407">
        <v>1.4254</v>
      </c>
      <c r="J407">
        <v>24</v>
      </c>
      <c r="K407">
        <v>666</v>
      </c>
      <c r="L407">
        <v>20.2</v>
      </c>
      <c r="M407">
        <v>384.97</v>
      </c>
      <c r="N407">
        <v>22.98</v>
      </c>
    </row>
    <row r="408" spans="1:14" x14ac:dyDescent="0.25">
      <c r="A408">
        <v>11.9</v>
      </c>
      <c r="B408">
        <v>20.716200000000001</v>
      </c>
      <c r="C408">
        <v>0</v>
      </c>
      <c r="D408">
        <v>18.100000000000001</v>
      </c>
      <c r="E408">
        <v>0</v>
      </c>
      <c r="F408">
        <v>0.65900000000000003</v>
      </c>
      <c r="G408">
        <v>4.1379999999999999</v>
      </c>
      <c r="H408">
        <v>100</v>
      </c>
      <c r="I408">
        <v>1.1780999999999999</v>
      </c>
      <c r="J408">
        <v>24</v>
      </c>
      <c r="K408">
        <v>666</v>
      </c>
      <c r="L408">
        <v>20.2</v>
      </c>
      <c r="M408">
        <v>370.22</v>
      </c>
      <c r="N408">
        <v>23.34</v>
      </c>
    </row>
    <row r="409" spans="1:14" x14ac:dyDescent="0.25">
      <c r="A409">
        <v>27.9</v>
      </c>
      <c r="B409">
        <v>11.9511</v>
      </c>
      <c r="C409">
        <v>0</v>
      </c>
      <c r="D409">
        <v>18.100000000000001</v>
      </c>
      <c r="E409">
        <v>0</v>
      </c>
      <c r="F409">
        <v>0.65900000000000003</v>
      </c>
      <c r="G409">
        <v>5.6079999999999997</v>
      </c>
      <c r="H409">
        <v>100</v>
      </c>
      <c r="I409">
        <v>1.2851999999999999</v>
      </c>
      <c r="J409">
        <v>24</v>
      </c>
      <c r="K409">
        <v>666</v>
      </c>
      <c r="L409">
        <v>20.2</v>
      </c>
      <c r="M409">
        <v>332.09</v>
      </c>
      <c r="N409">
        <v>12.13</v>
      </c>
    </row>
    <row r="410" spans="1:14" x14ac:dyDescent="0.25">
      <c r="A410">
        <v>17.2</v>
      </c>
      <c r="B410">
        <v>7.4038899999999996</v>
      </c>
      <c r="C410">
        <v>0</v>
      </c>
      <c r="D410">
        <v>18.100000000000001</v>
      </c>
      <c r="E410">
        <v>0</v>
      </c>
      <c r="F410">
        <v>0.59699999999999998</v>
      </c>
      <c r="G410">
        <v>5.617</v>
      </c>
      <c r="H410">
        <v>97.9</v>
      </c>
      <c r="I410">
        <v>1.4547000000000001</v>
      </c>
      <c r="J410">
        <v>24</v>
      </c>
      <c r="K410">
        <v>666</v>
      </c>
      <c r="L410">
        <v>20.2</v>
      </c>
      <c r="M410">
        <v>314.64</v>
      </c>
      <c r="N410">
        <v>26.4</v>
      </c>
    </row>
    <row r="411" spans="1:14" x14ac:dyDescent="0.25">
      <c r="A411">
        <v>27.5</v>
      </c>
      <c r="B411">
        <v>14.4383</v>
      </c>
      <c r="C411">
        <v>0</v>
      </c>
      <c r="D411">
        <v>18.100000000000001</v>
      </c>
      <c r="E411">
        <v>0</v>
      </c>
      <c r="F411">
        <v>0.59699999999999998</v>
      </c>
      <c r="G411">
        <v>6.8520000000000003</v>
      </c>
      <c r="H411">
        <v>100</v>
      </c>
      <c r="I411">
        <v>1.4655</v>
      </c>
      <c r="J411">
        <v>24</v>
      </c>
      <c r="K411">
        <v>666</v>
      </c>
      <c r="L411">
        <v>20.2</v>
      </c>
      <c r="M411">
        <v>179.36</v>
      </c>
      <c r="N411">
        <v>19.78</v>
      </c>
    </row>
    <row r="412" spans="1:14" x14ac:dyDescent="0.25">
      <c r="A412">
        <v>15</v>
      </c>
      <c r="B412">
        <v>51.135800000000003</v>
      </c>
      <c r="C412">
        <v>0</v>
      </c>
      <c r="D412">
        <v>18.100000000000001</v>
      </c>
      <c r="E412">
        <v>0</v>
      </c>
      <c r="F412">
        <v>0.59699999999999998</v>
      </c>
      <c r="G412">
        <v>5.7569999999999997</v>
      </c>
      <c r="H412">
        <v>100</v>
      </c>
      <c r="I412">
        <v>1.413</v>
      </c>
      <c r="J412">
        <v>24</v>
      </c>
      <c r="K412">
        <v>666</v>
      </c>
      <c r="L412">
        <v>20.2</v>
      </c>
      <c r="M412">
        <v>2.6</v>
      </c>
      <c r="N412">
        <v>10.11</v>
      </c>
    </row>
    <row r="413" spans="1:14" x14ac:dyDescent="0.25">
      <c r="A413">
        <v>17.2</v>
      </c>
      <c r="B413">
        <v>14.050700000000001</v>
      </c>
      <c r="C413">
        <v>0</v>
      </c>
      <c r="D413">
        <v>18.100000000000001</v>
      </c>
      <c r="E413">
        <v>0</v>
      </c>
      <c r="F413">
        <v>0.59699999999999998</v>
      </c>
      <c r="G413">
        <v>6.657</v>
      </c>
      <c r="H413">
        <v>100</v>
      </c>
      <c r="I413">
        <v>1.5275000000000001</v>
      </c>
      <c r="J413">
        <v>24</v>
      </c>
      <c r="K413">
        <v>666</v>
      </c>
      <c r="L413">
        <v>20.2</v>
      </c>
      <c r="M413">
        <v>35.049999999999997</v>
      </c>
      <c r="N413">
        <v>21.22</v>
      </c>
    </row>
    <row r="414" spans="1:14" x14ac:dyDescent="0.25">
      <c r="A414">
        <v>17.899999999999999</v>
      </c>
      <c r="B414">
        <v>18.811</v>
      </c>
      <c r="C414">
        <v>0</v>
      </c>
      <c r="D414">
        <v>18.100000000000001</v>
      </c>
      <c r="E414">
        <v>0</v>
      </c>
      <c r="F414">
        <v>0.59699999999999998</v>
      </c>
      <c r="G414">
        <v>4.6280000000000001</v>
      </c>
      <c r="H414">
        <v>100</v>
      </c>
      <c r="I414">
        <v>1.5539000000000001</v>
      </c>
      <c r="J414">
        <v>24</v>
      </c>
      <c r="K414">
        <v>666</v>
      </c>
      <c r="L414">
        <v>20.2</v>
      </c>
      <c r="M414">
        <v>28.79</v>
      </c>
      <c r="N414">
        <v>34.369999999999997</v>
      </c>
    </row>
    <row r="415" spans="1:14" x14ac:dyDescent="0.25">
      <c r="A415">
        <v>16.3</v>
      </c>
      <c r="B415">
        <v>28.655799999999999</v>
      </c>
      <c r="C415">
        <v>0</v>
      </c>
      <c r="D415">
        <v>18.100000000000001</v>
      </c>
      <c r="E415">
        <v>0</v>
      </c>
      <c r="F415">
        <v>0.59699999999999998</v>
      </c>
      <c r="G415">
        <v>5.1550000000000002</v>
      </c>
      <c r="H415">
        <v>100</v>
      </c>
      <c r="I415">
        <v>1.5893999999999999</v>
      </c>
      <c r="J415">
        <v>24</v>
      </c>
      <c r="K415">
        <v>666</v>
      </c>
      <c r="L415">
        <v>20.2</v>
      </c>
      <c r="M415">
        <v>210.97</v>
      </c>
      <c r="N415">
        <v>20.079999999999998</v>
      </c>
    </row>
    <row r="416" spans="1:14" x14ac:dyDescent="0.25">
      <c r="A416">
        <v>7</v>
      </c>
      <c r="B416">
        <v>45.746099999999998</v>
      </c>
      <c r="C416">
        <v>0</v>
      </c>
      <c r="D416">
        <v>18.100000000000001</v>
      </c>
      <c r="E416">
        <v>0</v>
      </c>
      <c r="F416">
        <v>0.69299999999999995</v>
      </c>
      <c r="G416">
        <v>4.5190000000000001</v>
      </c>
      <c r="H416">
        <v>100</v>
      </c>
      <c r="I416">
        <v>1.6581999999999999</v>
      </c>
      <c r="J416">
        <v>24</v>
      </c>
      <c r="K416">
        <v>666</v>
      </c>
      <c r="L416">
        <v>20.2</v>
      </c>
      <c r="M416">
        <v>88.27</v>
      </c>
      <c r="N416">
        <v>36.979999999999997</v>
      </c>
    </row>
    <row r="417" spans="1:14" x14ac:dyDescent="0.25">
      <c r="A417">
        <v>7.2</v>
      </c>
      <c r="B417">
        <v>18.084599999999998</v>
      </c>
      <c r="C417">
        <v>0</v>
      </c>
      <c r="D417">
        <v>18.100000000000001</v>
      </c>
      <c r="E417">
        <v>0</v>
      </c>
      <c r="F417">
        <v>0.67900000000000005</v>
      </c>
      <c r="G417">
        <v>6.4340000000000002</v>
      </c>
      <c r="H417">
        <v>100</v>
      </c>
      <c r="I417">
        <v>1.8347</v>
      </c>
      <c r="J417">
        <v>24</v>
      </c>
      <c r="K417">
        <v>666</v>
      </c>
      <c r="L417">
        <v>20.2</v>
      </c>
      <c r="M417">
        <v>27.25</v>
      </c>
      <c r="N417">
        <v>29.05</v>
      </c>
    </row>
    <row r="418" spans="1:14" x14ac:dyDescent="0.25">
      <c r="A418">
        <v>7.5</v>
      </c>
      <c r="B418">
        <v>10.834199999999999</v>
      </c>
      <c r="C418">
        <v>0</v>
      </c>
      <c r="D418">
        <v>18.100000000000001</v>
      </c>
      <c r="E418">
        <v>0</v>
      </c>
      <c r="F418">
        <v>0.67900000000000005</v>
      </c>
      <c r="G418">
        <v>6.782</v>
      </c>
      <c r="H418">
        <v>90.8</v>
      </c>
      <c r="I418">
        <v>1.8194999999999999</v>
      </c>
      <c r="J418">
        <v>24</v>
      </c>
      <c r="K418">
        <v>666</v>
      </c>
      <c r="L418">
        <v>20.2</v>
      </c>
      <c r="M418">
        <v>21.57</v>
      </c>
      <c r="N418">
        <v>25.79</v>
      </c>
    </row>
    <row r="419" spans="1:14" x14ac:dyDescent="0.25">
      <c r="A419">
        <v>10.4</v>
      </c>
      <c r="B419">
        <v>25.9406</v>
      </c>
      <c r="C419">
        <v>0</v>
      </c>
      <c r="D419">
        <v>18.100000000000001</v>
      </c>
      <c r="E419">
        <v>0</v>
      </c>
      <c r="F419">
        <v>0.67900000000000005</v>
      </c>
      <c r="G419">
        <v>5.3040000000000003</v>
      </c>
      <c r="H419">
        <v>89.1</v>
      </c>
      <c r="I419">
        <v>1.6475</v>
      </c>
      <c r="J419">
        <v>24</v>
      </c>
      <c r="K419">
        <v>666</v>
      </c>
      <c r="L419">
        <v>20.2</v>
      </c>
      <c r="M419">
        <v>127.36</v>
      </c>
      <c r="N419">
        <v>26.64</v>
      </c>
    </row>
    <row r="420" spans="1:14" x14ac:dyDescent="0.25">
      <c r="A420">
        <v>8.8000000000000007</v>
      </c>
      <c r="B420">
        <v>73.534099999999995</v>
      </c>
      <c r="C420">
        <v>0</v>
      </c>
      <c r="D420">
        <v>18.100000000000001</v>
      </c>
      <c r="E420">
        <v>0</v>
      </c>
      <c r="F420">
        <v>0.67900000000000005</v>
      </c>
      <c r="G420">
        <v>5.9569999999999999</v>
      </c>
      <c r="H420">
        <v>100</v>
      </c>
      <c r="I420">
        <v>1.8026</v>
      </c>
      <c r="J420">
        <v>24</v>
      </c>
      <c r="K420">
        <v>666</v>
      </c>
      <c r="L420">
        <v>20.2</v>
      </c>
      <c r="M420">
        <v>16.45</v>
      </c>
      <c r="N420">
        <v>20.62</v>
      </c>
    </row>
    <row r="421" spans="1:14" x14ac:dyDescent="0.25">
      <c r="A421">
        <v>8.4</v>
      </c>
      <c r="B421">
        <v>11.8123</v>
      </c>
      <c r="C421">
        <v>0</v>
      </c>
      <c r="D421">
        <v>18.100000000000001</v>
      </c>
      <c r="E421">
        <v>0</v>
      </c>
      <c r="F421">
        <v>0.71799999999999997</v>
      </c>
      <c r="G421">
        <v>6.8239999999999998</v>
      </c>
      <c r="H421">
        <v>76.5</v>
      </c>
      <c r="I421">
        <v>1.794</v>
      </c>
      <c r="J421">
        <v>24</v>
      </c>
      <c r="K421">
        <v>666</v>
      </c>
      <c r="L421">
        <v>20.2</v>
      </c>
      <c r="M421">
        <v>48.45</v>
      </c>
      <c r="N421">
        <v>22.74</v>
      </c>
    </row>
    <row r="422" spans="1:14" x14ac:dyDescent="0.25">
      <c r="A422">
        <v>16.7</v>
      </c>
      <c r="B422">
        <v>11.087400000000001</v>
      </c>
      <c r="C422">
        <v>0</v>
      </c>
      <c r="D422">
        <v>18.100000000000001</v>
      </c>
      <c r="E422">
        <v>0</v>
      </c>
      <c r="F422">
        <v>0.71799999999999997</v>
      </c>
      <c r="G422">
        <v>6.4109999999999996</v>
      </c>
      <c r="H422">
        <v>100</v>
      </c>
      <c r="I422">
        <v>1.8589</v>
      </c>
      <c r="J422">
        <v>24</v>
      </c>
      <c r="K422">
        <v>666</v>
      </c>
      <c r="L422">
        <v>20.2</v>
      </c>
      <c r="M422">
        <v>318.75</v>
      </c>
      <c r="N422">
        <v>15.02</v>
      </c>
    </row>
    <row r="423" spans="1:14" x14ac:dyDescent="0.25">
      <c r="A423">
        <v>14.2</v>
      </c>
      <c r="B423">
        <v>7.0225900000000001</v>
      </c>
      <c r="C423">
        <v>0</v>
      </c>
      <c r="D423">
        <v>18.100000000000001</v>
      </c>
      <c r="E423">
        <v>0</v>
      </c>
      <c r="F423">
        <v>0.71799999999999997</v>
      </c>
      <c r="G423">
        <v>6.0060000000000002</v>
      </c>
      <c r="H423">
        <v>95.3</v>
      </c>
      <c r="I423">
        <v>1.8746</v>
      </c>
      <c r="J423">
        <v>24</v>
      </c>
      <c r="K423">
        <v>666</v>
      </c>
      <c r="L423">
        <v>20.2</v>
      </c>
      <c r="M423">
        <v>319.98</v>
      </c>
      <c r="N423">
        <v>15.7</v>
      </c>
    </row>
    <row r="424" spans="1:14" x14ac:dyDescent="0.25">
      <c r="A424">
        <v>20.8</v>
      </c>
      <c r="B424">
        <v>12.0482</v>
      </c>
      <c r="C424">
        <v>0</v>
      </c>
      <c r="D424">
        <v>18.100000000000001</v>
      </c>
      <c r="E424">
        <v>0</v>
      </c>
      <c r="F424">
        <v>0.61399999999999999</v>
      </c>
      <c r="G424">
        <v>5.6479999999999997</v>
      </c>
      <c r="H424">
        <v>87.6</v>
      </c>
      <c r="I424">
        <v>1.9512</v>
      </c>
      <c r="J424">
        <v>24</v>
      </c>
      <c r="K424">
        <v>666</v>
      </c>
      <c r="L424">
        <v>20.2</v>
      </c>
      <c r="M424">
        <v>291.55</v>
      </c>
      <c r="N424">
        <v>14.1</v>
      </c>
    </row>
    <row r="425" spans="1:14" x14ac:dyDescent="0.25">
      <c r="A425">
        <v>13.4</v>
      </c>
      <c r="B425">
        <v>7.0504199999999999</v>
      </c>
      <c r="C425">
        <v>0</v>
      </c>
      <c r="D425">
        <v>18.100000000000001</v>
      </c>
      <c r="E425">
        <v>0</v>
      </c>
      <c r="F425">
        <v>0.61399999999999999</v>
      </c>
      <c r="G425">
        <v>6.1029999999999998</v>
      </c>
      <c r="H425">
        <v>85.1</v>
      </c>
      <c r="I425">
        <v>2.0217999999999998</v>
      </c>
      <c r="J425">
        <v>24</v>
      </c>
      <c r="K425">
        <v>666</v>
      </c>
      <c r="L425">
        <v>20.2</v>
      </c>
      <c r="M425">
        <v>2.52</v>
      </c>
      <c r="N425">
        <v>23.29</v>
      </c>
    </row>
    <row r="426" spans="1:14" x14ac:dyDescent="0.25">
      <c r="A426">
        <v>11.7</v>
      </c>
      <c r="B426">
        <v>8.7921200000000006</v>
      </c>
      <c r="C426">
        <v>0</v>
      </c>
      <c r="D426">
        <v>18.100000000000001</v>
      </c>
      <c r="E426">
        <v>0</v>
      </c>
      <c r="F426">
        <v>0.58399999999999996</v>
      </c>
      <c r="G426">
        <v>5.5650000000000004</v>
      </c>
      <c r="H426">
        <v>70.599999999999994</v>
      </c>
      <c r="I426">
        <v>2.0634999999999999</v>
      </c>
      <c r="J426">
        <v>24</v>
      </c>
      <c r="K426">
        <v>666</v>
      </c>
      <c r="L426">
        <v>20.2</v>
      </c>
      <c r="M426">
        <v>3.65</v>
      </c>
      <c r="N426">
        <v>17.16</v>
      </c>
    </row>
    <row r="427" spans="1:14" x14ac:dyDescent="0.25">
      <c r="A427">
        <v>8.3000000000000007</v>
      </c>
      <c r="B427">
        <v>15.860300000000001</v>
      </c>
      <c r="C427">
        <v>0</v>
      </c>
      <c r="D427">
        <v>18.100000000000001</v>
      </c>
      <c r="E427">
        <v>0</v>
      </c>
      <c r="F427">
        <v>0.67900000000000005</v>
      </c>
      <c r="G427">
        <v>5.8959999999999999</v>
      </c>
      <c r="H427">
        <v>95.4</v>
      </c>
      <c r="I427">
        <v>1.9096</v>
      </c>
      <c r="J427">
        <v>24</v>
      </c>
      <c r="K427">
        <v>666</v>
      </c>
      <c r="L427">
        <v>20.2</v>
      </c>
      <c r="M427">
        <v>7.68</v>
      </c>
      <c r="N427">
        <v>24.39</v>
      </c>
    </row>
    <row r="428" spans="1:14" x14ac:dyDescent="0.25">
      <c r="A428">
        <v>10.199999999999999</v>
      </c>
      <c r="B428">
        <v>12.247199999999999</v>
      </c>
      <c r="C428">
        <v>0</v>
      </c>
      <c r="D428">
        <v>18.100000000000001</v>
      </c>
      <c r="E428">
        <v>0</v>
      </c>
      <c r="F428">
        <v>0.58399999999999996</v>
      </c>
      <c r="G428">
        <v>5.8369999999999997</v>
      </c>
      <c r="H428">
        <v>59.7</v>
      </c>
      <c r="I428">
        <v>1.9976</v>
      </c>
      <c r="J428">
        <v>24</v>
      </c>
      <c r="K428">
        <v>666</v>
      </c>
      <c r="L428">
        <v>20.2</v>
      </c>
      <c r="M428">
        <v>24.65</v>
      </c>
      <c r="N428">
        <v>15.69</v>
      </c>
    </row>
    <row r="429" spans="1:14" x14ac:dyDescent="0.25">
      <c r="A429">
        <v>10.9</v>
      </c>
      <c r="B429">
        <v>37.661900000000003</v>
      </c>
      <c r="C429">
        <v>0</v>
      </c>
      <c r="D429">
        <v>18.100000000000001</v>
      </c>
      <c r="E429">
        <v>0</v>
      </c>
      <c r="F429">
        <v>0.67900000000000005</v>
      </c>
      <c r="G429">
        <v>6.202</v>
      </c>
      <c r="H429">
        <v>78.7</v>
      </c>
      <c r="I429">
        <v>1.8629</v>
      </c>
      <c r="J429">
        <v>24</v>
      </c>
      <c r="K429">
        <v>666</v>
      </c>
      <c r="L429">
        <v>20.2</v>
      </c>
      <c r="M429">
        <v>18.82</v>
      </c>
      <c r="N429">
        <v>14.52</v>
      </c>
    </row>
    <row r="430" spans="1:14" x14ac:dyDescent="0.25">
      <c r="A430">
        <v>11</v>
      </c>
      <c r="B430">
        <v>7.3671100000000003</v>
      </c>
      <c r="C430">
        <v>0</v>
      </c>
      <c r="D430">
        <v>18.100000000000001</v>
      </c>
      <c r="E430">
        <v>0</v>
      </c>
      <c r="F430">
        <v>0.67900000000000005</v>
      </c>
      <c r="G430">
        <v>6.1929999999999996</v>
      </c>
      <c r="H430">
        <v>78.099999999999994</v>
      </c>
      <c r="I430">
        <v>1.9356</v>
      </c>
      <c r="J430">
        <v>24</v>
      </c>
      <c r="K430">
        <v>666</v>
      </c>
      <c r="L430">
        <v>20.2</v>
      </c>
      <c r="M430">
        <v>96.73</v>
      </c>
      <c r="N430">
        <v>21.52</v>
      </c>
    </row>
    <row r="431" spans="1:14" x14ac:dyDescent="0.25">
      <c r="A431">
        <v>9.5</v>
      </c>
      <c r="B431">
        <v>9.3388899999999992</v>
      </c>
      <c r="C431">
        <v>0</v>
      </c>
      <c r="D431">
        <v>18.100000000000001</v>
      </c>
      <c r="E431">
        <v>0</v>
      </c>
      <c r="F431">
        <v>0.67900000000000005</v>
      </c>
      <c r="G431">
        <v>6.38</v>
      </c>
      <c r="H431">
        <v>95.6</v>
      </c>
      <c r="I431">
        <v>1.9681999999999999</v>
      </c>
      <c r="J431">
        <v>24</v>
      </c>
      <c r="K431">
        <v>666</v>
      </c>
      <c r="L431">
        <v>20.2</v>
      </c>
      <c r="M431">
        <v>60.72</v>
      </c>
      <c r="N431">
        <v>24.08</v>
      </c>
    </row>
    <row r="432" spans="1:14" x14ac:dyDescent="0.25">
      <c r="A432">
        <v>14.5</v>
      </c>
      <c r="B432">
        <v>8.4921299999999995</v>
      </c>
      <c r="C432">
        <v>0</v>
      </c>
      <c r="D432">
        <v>18.100000000000001</v>
      </c>
      <c r="E432">
        <v>0</v>
      </c>
      <c r="F432">
        <v>0.58399999999999996</v>
      </c>
      <c r="G432">
        <v>6.3479999999999999</v>
      </c>
      <c r="H432">
        <v>86.1</v>
      </c>
      <c r="I432">
        <v>2.0527000000000002</v>
      </c>
      <c r="J432">
        <v>24</v>
      </c>
      <c r="K432">
        <v>666</v>
      </c>
      <c r="L432">
        <v>20.2</v>
      </c>
      <c r="M432">
        <v>83.45</v>
      </c>
      <c r="N432">
        <v>17.64</v>
      </c>
    </row>
    <row r="433" spans="1:14" x14ac:dyDescent="0.25">
      <c r="A433">
        <v>14.1</v>
      </c>
      <c r="B433">
        <v>10.0623</v>
      </c>
      <c r="C433">
        <v>0</v>
      </c>
      <c r="D433">
        <v>18.100000000000001</v>
      </c>
      <c r="E433">
        <v>0</v>
      </c>
      <c r="F433">
        <v>0.58399999999999996</v>
      </c>
      <c r="G433">
        <v>6.8330000000000002</v>
      </c>
      <c r="H433">
        <v>94.3</v>
      </c>
      <c r="I433">
        <v>2.0882000000000001</v>
      </c>
      <c r="J433">
        <v>24</v>
      </c>
      <c r="K433">
        <v>666</v>
      </c>
      <c r="L433">
        <v>20.2</v>
      </c>
      <c r="M433">
        <v>81.33</v>
      </c>
      <c r="N433">
        <v>19.690000000000001</v>
      </c>
    </row>
    <row r="434" spans="1:14" x14ac:dyDescent="0.25">
      <c r="A434">
        <v>16.100000000000001</v>
      </c>
      <c r="B434">
        <v>6.4440499999999998</v>
      </c>
      <c r="C434">
        <v>0</v>
      </c>
      <c r="D434">
        <v>18.100000000000001</v>
      </c>
      <c r="E434">
        <v>0</v>
      </c>
      <c r="F434">
        <v>0.58399999999999996</v>
      </c>
      <c r="G434">
        <v>6.4249999999999998</v>
      </c>
      <c r="H434">
        <v>74.8</v>
      </c>
      <c r="I434">
        <v>2.2004000000000001</v>
      </c>
      <c r="J434">
        <v>24</v>
      </c>
      <c r="K434">
        <v>666</v>
      </c>
      <c r="L434">
        <v>20.2</v>
      </c>
      <c r="M434">
        <v>97.95</v>
      </c>
      <c r="N434">
        <v>12.03</v>
      </c>
    </row>
    <row r="435" spans="1:14" x14ac:dyDescent="0.25">
      <c r="A435">
        <v>14.3</v>
      </c>
      <c r="B435">
        <v>5.5810700000000004</v>
      </c>
      <c r="C435">
        <v>0</v>
      </c>
      <c r="D435">
        <v>18.100000000000001</v>
      </c>
      <c r="E435">
        <v>0</v>
      </c>
      <c r="F435">
        <v>0.71299999999999997</v>
      </c>
      <c r="G435">
        <v>6.4359999999999999</v>
      </c>
      <c r="H435">
        <v>87.9</v>
      </c>
      <c r="I435">
        <v>2.3157999999999999</v>
      </c>
      <c r="J435">
        <v>24</v>
      </c>
      <c r="K435">
        <v>666</v>
      </c>
      <c r="L435">
        <v>20.2</v>
      </c>
      <c r="M435">
        <v>100.19</v>
      </c>
      <c r="N435">
        <v>16.22</v>
      </c>
    </row>
    <row r="436" spans="1:14" x14ac:dyDescent="0.25">
      <c r="A436">
        <v>11.7</v>
      </c>
      <c r="B436">
        <v>13.913399999999999</v>
      </c>
      <c r="C436">
        <v>0</v>
      </c>
      <c r="D436">
        <v>18.100000000000001</v>
      </c>
      <c r="E436">
        <v>0</v>
      </c>
      <c r="F436">
        <v>0.71299999999999997</v>
      </c>
      <c r="G436">
        <v>6.2080000000000002</v>
      </c>
      <c r="H436">
        <v>95</v>
      </c>
      <c r="I436">
        <v>2.2222</v>
      </c>
      <c r="J436">
        <v>24</v>
      </c>
      <c r="K436">
        <v>666</v>
      </c>
      <c r="L436">
        <v>20.2</v>
      </c>
      <c r="M436">
        <v>100.63</v>
      </c>
      <c r="N436">
        <v>15.17</v>
      </c>
    </row>
    <row r="437" spans="1:14" x14ac:dyDescent="0.25">
      <c r="A437">
        <v>13.4</v>
      </c>
      <c r="B437">
        <v>11.160399999999999</v>
      </c>
      <c r="C437">
        <v>0</v>
      </c>
      <c r="D437">
        <v>18.100000000000001</v>
      </c>
      <c r="E437">
        <v>0</v>
      </c>
      <c r="F437">
        <v>0.74</v>
      </c>
      <c r="G437">
        <v>6.6289999999999996</v>
      </c>
      <c r="H437">
        <v>94.6</v>
      </c>
      <c r="I437">
        <v>2.1246999999999998</v>
      </c>
      <c r="J437">
        <v>24</v>
      </c>
      <c r="K437">
        <v>666</v>
      </c>
      <c r="L437">
        <v>20.2</v>
      </c>
      <c r="M437">
        <v>109.85</v>
      </c>
      <c r="N437">
        <v>23.27</v>
      </c>
    </row>
    <row r="438" spans="1:14" x14ac:dyDescent="0.25">
      <c r="A438">
        <v>9.6</v>
      </c>
      <c r="B438">
        <v>14.4208</v>
      </c>
      <c r="C438">
        <v>0</v>
      </c>
      <c r="D438">
        <v>18.100000000000001</v>
      </c>
      <c r="E438">
        <v>0</v>
      </c>
      <c r="F438">
        <v>0.74</v>
      </c>
      <c r="G438">
        <v>6.4610000000000003</v>
      </c>
      <c r="H438">
        <v>93.3</v>
      </c>
      <c r="I438">
        <v>2.0026000000000002</v>
      </c>
      <c r="J438">
        <v>24</v>
      </c>
      <c r="K438">
        <v>666</v>
      </c>
      <c r="L438">
        <v>20.2</v>
      </c>
      <c r="M438">
        <v>27.49</v>
      </c>
      <c r="N438">
        <v>18.05</v>
      </c>
    </row>
    <row r="439" spans="1:14" x14ac:dyDescent="0.25">
      <c r="A439">
        <v>8.6999999999999993</v>
      </c>
      <c r="B439">
        <v>15.177199999999999</v>
      </c>
      <c r="C439">
        <v>0</v>
      </c>
      <c r="D439">
        <v>18.100000000000001</v>
      </c>
      <c r="E439">
        <v>0</v>
      </c>
      <c r="F439">
        <v>0.74</v>
      </c>
      <c r="G439">
        <v>6.1520000000000001</v>
      </c>
      <c r="H439">
        <v>100</v>
      </c>
      <c r="I439">
        <v>1.9141999999999999</v>
      </c>
      <c r="J439">
        <v>24</v>
      </c>
      <c r="K439">
        <v>666</v>
      </c>
      <c r="L439">
        <v>20.2</v>
      </c>
      <c r="M439">
        <v>9.32</v>
      </c>
      <c r="N439">
        <v>26.45</v>
      </c>
    </row>
    <row r="440" spans="1:14" x14ac:dyDescent="0.25">
      <c r="A440">
        <v>8.4</v>
      </c>
      <c r="B440">
        <v>13.678100000000001</v>
      </c>
      <c r="C440">
        <v>0</v>
      </c>
      <c r="D440">
        <v>18.100000000000001</v>
      </c>
      <c r="E440">
        <v>0</v>
      </c>
      <c r="F440">
        <v>0.74</v>
      </c>
      <c r="G440">
        <v>5.9349999999999996</v>
      </c>
      <c r="H440">
        <v>87.9</v>
      </c>
      <c r="I440">
        <v>1.8206</v>
      </c>
      <c r="J440">
        <v>24</v>
      </c>
      <c r="K440">
        <v>666</v>
      </c>
      <c r="L440">
        <v>20.2</v>
      </c>
      <c r="M440">
        <v>68.95</v>
      </c>
      <c r="N440">
        <v>34.020000000000003</v>
      </c>
    </row>
    <row r="441" spans="1:14" x14ac:dyDescent="0.25">
      <c r="A441">
        <v>12.8</v>
      </c>
      <c r="B441">
        <v>9.3906299999999998</v>
      </c>
      <c r="C441">
        <v>0</v>
      </c>
      <c r="D441">
        <v>18.100000000000001</v>
      </c>
      <c r="E441">
        <v>0</v>
      </c>
      <c r="F441">
        <v>0.74</v>
      </c>
      <c r="G441">
        <v>5.6269999999999998</v>
      </c>
      <c r="H441">
        <v>93.9</v>
      </c>
      <c r="I441">
        <v>1.8171999999999999</v>
      </c>
      <c r="J441">
        <v>24</v>
      </c>
      <c r="K441">
        <v>666</v>
      </c>
      <c r="L441">
        <v>20.2</v>
      </c>
      <c r="M441">
        <v>396.9</v>
      </c>
      <c r="N441">
        <v>22.88</v>
      </c>
    </row>
    <row r="442" spans="1:14" x14ac:dyDescent="0.25">
      <c r="A442">
        <v>10.5</v>
      </c>
      <c r="B442">
        <v>22.051100000000002</v>
      </c>
      <c r="C442">
        <v>0</v>
      </c>
      <c r="D442">
        <v>18.100000000000001</v>
      </c>
      <c r="E442">
        <v>0</v>
      </c>
      <c r="F442">
        <v>0.74</v>
      </c>
      <c r="G442">
        <v>5.8179999999999996</v>
      </c>
      <c r="H442">
        <v>92.4</v>
      </c>
      <c r="I442">
        <v>1.8662000000000001</v>
      </c>
      <c r="J442">
        <v>24</v>
      </c>
      <c r="K442">
        <v>666</v>
      </c>
      <c r="L442">
        <v>20.2</v>
      </c>
      <c r="M442">
        <v>391.45</v>
      </c>
      <c r="N442">
        <v>22.11</v>
      </c>
    </row>
    <row r="443" spans="1:14" x14ac:dyDescent="0.25">
      <c r="A443">
        <v>17.100000000000001</v>
      </c>
      <c r="B443">
        <v>9.7241800000000005</v>
      </c>
      <c r="C443">
        <v>0</v>
      </c>
      <c r="D443">
        <v>18.100000000000001</v>
      </c>
      <c r="E443">
        <v>0</v>
      </c>
      <c r="F443">
        <v>0.74</v>
      </c>
      <c r="G443">
        <v>6.4059999999999997</v>
      </c>
      <c r="H443">
        <v>97.2</v>
      </c>
      <c r="I443">
        <v>2.0651000000000002</v>
      </c>
      <c r="J443">
        <v>24</v>
      </c>
      <c r="K443">
        <v>666</v>
      </c>
      <c r="L443">
        <v>20.2</v>
      </c>
      <c r="M443">
        <v>385.96</v>
      </c>
      <c r="N443">
        <v>19.52</v>
      </c>
    </row>
    <row r="444" spans="1:14" x14ac:dyDescent="0.25">
      <c r="A444">
        <v>18.399999999999999</v>
      </c>
      <c r="B444">
        <v>5.6663699999999997</v>
      </c>
      <c r="C444">
        <v>0</v>
      </c>
      <c r="D444">
        <v>18.100000000000001</v>
      </c>
      <c r="E444">
        <v>0</v>
      </c>
      <c r="F444">
        <v>0.74</v>
      </c>
      <c r="G444">
        <v>6.2190000000000003</v>
      </c>
      <c r="H444">
        <v>100</v>
      </c>
      <c r="I444">
        <v>2.0047999999999999</v>
      </c>
      <c r="J444">
        <v>24</v>
      </c>
      <c r="K444">
        <v>666</v>
      </c>
      <c r="L444">
        <v>20.2</v>
      </c>
      <c r="M444">
        <v>395.69</v>
      </c>
      <c r="N444">
        <v>16.59</v>
      </c>
    </row>
    <row r="445" spans="1:14" x14ac:dyDescent="0.25">
      <c r="A445">
        <v>15.4</v>
      </c>
      <c r="B445">
        <v>9.9665400000000002</v>
      </c>
      <c r="C445">
        <v>0</v>
      </c>
      <c r="D445">
        <v>18.100000000000001</v>
      </c>
      <c r="E445">
        <v>0</v>
      </c>
      <c r="F445">
        <v>0.74</v>
      </c>
      <c r="G445">
        <v>6.4850000000000003</v>
      </c>
      <c r="H445">
        <v>100</v>
      </c>
      <c r="I445">
        <v>1.9783999999999999</v>
      </c>
      <c r="J445">
        <v>24</v>
      </c>
      <c r="K445">
        <v>666</v>
      </c>
      <c r="L445">
        <v>20.2</v>
      </c>
      <c r="M445">
        <v>386.73</v>
      </c>
      <c r="N445">
        <v>18.850000000000001</v>
      </c>
    </row>
    <row r="446" spans="1:14" x14ac:dyDescent="0.25">
      <c r="A446">
        <v>10.8</v>
      </c>
      <c r="B446">
        <v>12.802300000000001</v>
      </c>
      <c r="C446">
        <v>0</v>
      </c>
      <c r="D446">
        <v>18.100000000000001</v>
      </c>
      <c r="E446">
        <v>0</v>
      </c>
      <c r="F446">
        <v>0.74</v>
      </c>
      <c r="G446">
        <v>5.8540000000000001</v>
      </c>
      <c r="H446">
        <v>96.6</v>
      </c>
      <c r="I446">
        <v>1.8956</v>
      </c>
      <c r="J446">
        <v>24</v>
      </c>
      <c r="K446">
        <v>666</v>
      </c>
      <c r="L446">
        <v>20.2</v>
      </c>
      <c r="M446">
        <v>240.52</v>
      </c>
      <c r="N446">
        <v>23.79</v>
      </c>
    </row>
    <row r="447" spans="1:14" x14ac:dyDescent="0.25">
      <c r="A447">
        <v>11.8</v>
      </c>
      <c r="B447">
        <v>10.671799999999999</v>
      </c>
      <c r="C447">
        <v>0</v>
      </c>
      <c r="D447">
        <v>18.100000000000001</v>
      </c>
      <c r="E447">
        <v>0</v>
      </c>
      <c r="F447">
        <v>0.74</v>
      </c>
      <c r="G447">
        <v>6.4589999999999996</v>
      </c>
      <c r="H447">
        <v>94.8</v>
      </c>
      <c r="I447">
        <v>1.9879</v>
      </c>
      <c r="J447">
        <v>24</v>
      </c>
      <c r="K447">
        <v>666</v>
      </c>
      <c r="L447">
        <v>20.2</v>
      </c>
      <c r="M447">
        <v>43.06</v>
      </c>
      <c r="N447">
        <v>23.98</v>
      </c>
    </row>
    <row r="448" spans="1:14" x14ac:dyDescent="0.25">
      <c r="A448">
        <v>14.9</v>
      </c>
      <c r="B448">
        <v>6.2880700000000003</v>
      </c>
      <c r="C448">
        <v>0</v>
      </c>
      <c r="D448">
        <v>18.100000000000001</v>
      </c>
      <c r="E448">
        <v>0</v>
      </c>
      <c r="F448">
        <v>0.74</v>
      </c>
      <c r="G448">
        <v>6.3410000000000002</v>
      </c>
      <c r="H448">
        <v>96.4</v>
      </c>
      <c r="I448">
        <v>2.0720000000000001</v>
      </c>
      <c r="J448">
        <v>24</v>
      </c>
      <c r="K448">
        <v>666</v>
      </c>
      <c r="L448">
        <v>20.2</v>
      </c>
      <c r="M448">
        <v>318.01</v>
      </c>
      <c r="N448">
        <v>17.79</v>
      </c>
    </row>
    <row r="449" spans="1:14" x14ac:dyDescent="0.25">
      <c r="A449">
        <v>12.6</v>
      </c>
      <c r="B449">
        <v>9.9248499999999993</v>
      </c>
      <c r="C449">
        <v>0</v>
      </c>
      <c r="D449">
        <v>18.100000000000001</v>
      </c>
      <c r="E449">
        <v>0</v>
      </c>
      <c r="F449">
        <v>0.74</v>
      </c>
      <c r="G449">
        <v>6.2510000000000003</v>
      </c>
      <c r="H449">
        <v>96.6</v>
      </c>
      <c r="I449">
        <v>2.198</v>
      </c>
      <c r="J449">
        <v>24</v>
      </c>
      <c r="K449">
        <v>666</v>
      </c>
      <c r="L449">
        <v>20.2</v>
      </c>
      <c r="M449">
        <v>388.52</v>
      </c>
      <c r="N449">
        <v>16.440000000000001</v>
      </c>
    </row>
    <row r="450" spans="1:14" x14ac:dyDescent="0.25">
      <c r="A450">
        <v>14.1</v>
      </c>
      <c r="B450">
        <v>9.3290900000000008</v>
      </c>
      <c r="C450">
        <v>0</v>
      </c>
      <c r="D450">
        <v>18.100000000000001</v>
      </c>
      <c r="E450">
        <v>0</v>
      </c>
      <c r="F450">
        <v>0.71299999999999997</v>
      </c>
      <c r="G450">
        <v>6.1849999999999996</v>
      </c>
      <c r="H450">
        <v>98.7</v>
      </c>
      <c r="I450">
        <v>2.2616000000000001</v>
      </c>
      <c r="J450">
        <v>24</v>
      </c>
      <c r="K450">
        <v>666</v>
      </c>
      <c r="L450">
        <v>20.2</v>
      </c>
      <c r="M450">
        <v>396.9</v>
      </c>
      <c r="N450">
        <v>18.13</v>
      </c>
    </row>
    <row r="451" spans="1:14" x14ac:dyDescent="0.25">
      <c r="A451">
        <v>13</v>
      </c>
      <c r="B451">
        <v>7.5260100000000003</v>
      </c>
      <c r="C451">
        <v>0</v>
      </c>
      <c r="D451">
        <v>18.100000000000001</v>
      </c>
      <c r="E451">
        <v>0</v>
      </c>
      <c r="F451">
        <v>0.71299999999999997</v>
      </c>
      <c r="G451">
        <v>6.4169999999999998</v>
      </c>
      <c r="H451">
        <v>98.3</v>
      </c>
      <c r="I451">
        <v>2.1850000000000001</v>
      </c>
      <c r="J451">
        <v>24</v>
      </c>
      <c r="K451">
        <v>666</v>
      </c>
      <c r="L451">
        <v>20.2</v>
      </c>
      <c r="M451">
        <v>304.20999999999998</v>
      </c>
      <c r="N451">
        <v>19.309999999999999</v>
      </c>
    </row>
    <row r="452" spans="1:14" x14ac:dyDescent="0.25">
      <c r="A452">
        <v>13.4</v>
      </c>
      <c r="B452">
        <v>6.7177199999999999</v>
      </c>
      <c r="C452">
        <v>0</v>
      </c>
      <c r="D452">
        <v>18.100000000000001</v>
      </c>
      <c r="E452">
        <v>0</v>
      </c>
      <c r="F452">
        <v>0.71299999999999997</v>
      </c>
      <c r="G452">
        <v>6.7489999999999997</v>
      </c>
      <c r="H452">
        <v>92.6</v>
      </c>
      <c r="I452">
        <v>2.3235999999999999</v>
      </c>
      <c r="J452">
        <v>24</v>
      </c>
      <c r="K452">
        <v>666</v>
      </c>
      <c r="L452">
        <v>20.2</v>
      </c>
      <c r="M452">
        <v>0.32</v>
      </c>
      <c r="N452">
        <v>17.440000000000001</v>
      </c>
    </row>
    <row r="453" spans="1:14" x14ac:dyDescent="0.25">
      <c r="A453">
        <v>15.2</v>
      </c>
      <c r="B453">
        <v>5.4411399999999999</v>
      </c>
      <c r="C453">
        <v>0</v>
      </c>
      <c r="D453">
        <v>18.100000000000001</v>
      </c>
      <c r="E453">
        <v>0</v>
      </c>
      <c r="F453">
        <v>0.71299999999999997</v>
      </c>
      <c r="G453">
        <v>6.6550000000000002</v>
      </c>
      <c r="H453">
        <v>98.2</v>
      </c>
      <c r="I453">
        <v>2.3552</v>
      </c>
      <c r="J453">
        <v>24</v>
      </c>
      <c r="K453">
        <v>666</v>
      </c>
      <c r="L453">
        <v>20.2</v>
      </c>
      <c r="M453">
        <v>355.29</v>
      </c>
      <c r="N453">
        <v>17.73</v>
      </c>
    </row>
    <row r="454" spans="1:14" x14ac:dyDescent="0.25">
      <c r="A454">
        <v>16.100000000000001</v>
      </c>
      <c r="B454">
        <v>5.0901699999999996</v>
      </c>
      <c r="C454">
        <v>0</v>
      </c>
      <c r="D454">
        <v>18.100000000000001</v>
      </c>
      <c r="E454">
        <v>0</v>
      </c>
      <c r="F454">
        <v>0.71299999999999997</v>
      </c>
      <c r="G454">
        <v>6.2969999999999997</v>
      </c>
      <c r="H454">
        <v>91.8</v>
      </c>
      <c r="I454">
        <v>2.3681999999999999</v>
      </c>
      <c r="J454">
        <v>24</v>
      </c>
      <c r="K454">
        <v>666</v>
      </c>
      <c r="L454">
        <v>20.2</v>
      </c>
      <c r="M454">
        <v>385.09</v>
      </c>
      <c r="N454">
        <v>17.27</v>
      </c>
    </row>
    <row r="455" spans="1:14" x14ac:dyDescent="0.25">
      <c r="A455">
        <v>17.8</v>
      </c>
      <c r="B455">
        <v>8.2480899999999995</v>
      </c>
      <c r="C455">
        <v>0</v>
      </c>
      <c r="D455">
        <v>18.100000000000001</v>
      </c>
      <c r="E455">
        <v>0</v>
      </c>
      <c r="F455">
        <v>0.71299999999999997</v>
      </c>
      <c r="G455">
        <v>7.3929999999999998</v>
      </c>
      <c r="H455">
        <v>99.3</v>
      </c>
      <c r="I455">
        <v>2.4527000000000001</v>
      </c>
      <c r="J455">
        <v>24</v>
      </c>
      <c r="K455">
        <v>666</v>
      </c>
      <c r="L455">
        <v>20.2</v>
      </c>
      <c r="M455">
        <v>375.87</v>
      </c>
      <c r="N455">
        <v>16.739999999999998</v>
      </c>
    </row>
    <row r="456" spans="1:14" x14ac:dyDescent="0.25">
      <c r="A456">
        <v>14.9</v>
      </c>
      <c r="B456">
        <v>9.5136299999999991</v>
      </c>
      <c r="C456">
        <v>0</v>
      </c>
      <c r="D456">
        <v>18.100000000000001</v>
      </c>
      <c r="E456">
        <v>0</v>
      </c>
      <c r="F456">
        <v>0.71299999999999997</v>
      </c>
      <c r="G456">
        <v>6.7279999999999998</v>
      </c>
      <c r="H456">
        <v>94.1</v>
      </c>
      <c r="I456">
        <v>2.4961000000000002</v>
      </c>
      <c r="J456">
        <v>24</v>
      </c>
      <c r="K456">
        <v>666</v>
      </c>
      <c r="L456">
        <v>20.2</v>
      </c>
      <c r="M456">
        <v>6.68</v>
      </c>
      <c r="N456">
        <v>18.71</v>
      </c>
    </row>
    <row r="457" spans="1:14" x14ac:dyDescent="0.25">
      <c r="A457">
        <v>14.1</v>
      </c>
      <c r="B457">
        <v>4.75237</v>
      </c>
      <c r="C457">
        <v>0</v>
      </c>
      <c r="D457">
        <v>18.100000000000001</v>
      </c>
      <c r="E457">
        <v>0</v>
      </c>
      <c r="F457">
        <v>0.71299999999999997</v>
      </c>
      <c r="G457">
        <v>6.5250000000000004</v>
      </c>
      <c r="H457">
        <v>86.5</v>
      </c>
      <c r="I457">
        <v>2.4358</v>
      </c>
      <c r="J457">
        <v>24</v>
      </c>
      <c r="K457">
        <v>666</v>
      </c>
      <c r="L457">
        <v>20.2</v>
      </c>
      <c r="M457">
        <v>50.92</v>
      </c>
      <c r="N457">
        <v>18.13</v>
      </c>
    </row>
    <row r="458" spans="1:14" x14ac:dyDescent="0.25">
      <c r="A458">
        <v>12.7</v>
      </c>
      <c r="B458">
        <v>4.6688299999999998</v>
      </c>
      <c r="C458">
        <v>0</v>
      </c>
      <c r="D458">
        <v>18.100000000000001</v>
      </c>
      <c r="E458">
        <v>0</v>
      </c>
      <c r="F458">
        <v>0.71299999999999997</v>
      </c>
      <c r="G458">
        <v>5.976</v>
      </c>
      <c r="H458">
        <v>87.9</v>
      </c>
      <c r="I458">
        <v>2.5806</v>
      </c>
      <c r="J458">
        <v>24</v>
      </c>
      <c r="K458">
        <v>666</v>
      </c>
      <c r="L458">
        <v>20.2</v>
      </c>
      <c r="M458">
        <v>10.48</v>
      </c>
      <c r="N458">
        <v>19.010000000000002</v>
      </c>
    </row>
    <row r="459" spans="1:14" x14ac:dyDescent="0.25">
      <c r="A459">
        <v>13.5</v>
      </c>
      <c r="B459">
        <v>8.2005800000000004</v>
      </c>
      <c r="C459">
        <v>0</v>
      </c>
      <c r="D459">
        <v>18.100000000000001</v>
      </c>
      <c r="E459">
        <v>0</v>
      </c>
      <c r="F459">
        <v>0.71299999999999997</v>
      </c>
      <c r="G459">
        <v>5.9359999999999999</v>
      </c>
      <c r="H459">
        <v>80.3</v>
      </c>
      <c r="I459">
        <v>2.7791999999999999</v>
      </c>
      <c r="J459">
        <v>24</v>
      </c>
      <c r="K459">
        <v>666</v>
      </c>
      <c r="L459">
        <v>20.2</v>
      </c>
      <c r="M459">
        <v>3.5</v>
      </c>
      <c r="N459">
        <v>16.940000000000001</v>
      </c>
    </row>
    <row r="460" spans="1:14" x14ac:dyDescent="0.25">
      <c r="A460">
        <v>14.9</v>
      </c>
      <c r="B460">
        <v>7.75223</v>
      </c>
      <c r="C460">
        <v>0</v>
      </c>
      <c r="D460">
        <v>18.100000000000001</v>
      </c>
      <c r="E460">
        <v>0</v>
      </c>
      <c r="F460">
        <v>0.71299999999999997</v>
      </c>
      <c r="G460">
        <v>6.3010000000000002</v>
      </c>
      <c r="H460">
        <v>83.7</v>
      </c>
      <c r="I460">
        <v>2.7831000000000001</v>
      </c>
      <c r="J460">
        <v>24</v>
      </c>
      <c r="K460">
        <v>666</v>
      </c>
      <c r="L460">
        <v>20.2</v>
      </c>
      <c r="M460">
        <v>272.20999999999998</v>
      </c>
      <c r="N460">
        <v>16.23</v>
      </c>
    </row>
    <row r="461" spans="1:14" x14ac:dyDescent="0.25">
      <c r="A461">
        <v>20</v>
      </c>
      <c r="B461">
        <v>6.8011699999999999</v>
      </c>
      <c r="C461">
        <v>0</v>
      </c>
      <c r="D461">
        <v>18.100000000000001</v>
      </c>
      <c r="E461">
        <v>0</v>
      </c>
      <c r="F461">
        <v>0.71299999999999997</v>
      </c>
      <c r="G461">
        <v>6.0810000000000004</v>
      </c>
      <c r="H461">
        <v>84.4</v>
      </c>
      <c r="I461">
        <v>2.7174999999999998</v>
      </c>
      <c r="J461">
        <v>24</v>
      </c>
      <c r="K461">
        <v>666</v>
      </c>
      <c r="L461">
        <v>20.2</v>
      </c>
      <c r="M461">
        <v>396.9</v>
      </c>
      <c r="N461">
        <v>14.7</v>
      </c>
    </row>
    <row r="462" spans="1:14" x14ac:dyDescent="0.25">
      <c r="A462">
        <v>16.399999999999999</v>
      </c>
      <c r="B462">
        <v>4.8121299999999998</v>
      </c>
      <c r="C462">
        <v>0</v>
      </c>
      <c r="D462">
        <v>18.100000000000001</v>
      </c>
      <c r="E462">
        <v>0</v>
      </c>
      <c r="F462">
        <v>0.71299999999999997</v>
      </c>
      <c r="G462">
        <v>6.7009999999999996</v>
      </c>
      <c r="H462">
        <v>90</v>
      </c>
      <c r="I462">
        <v>2.5975000000000001</v>
      </c>
      <c r="J462">
        <v>24</v>
      </c>
      <c r="K462">
        <v>666</v>
      </c>
      <c r="L462">
        <v>20.2</v>
      </c>
      <c r="M462">
        <v>255.23</v>
      </c>
      <c r="N462">
        <v>16.420000000000002</v>
      </c>
    </row>
    <row r="463" spans="1:14" x14ac:dyDescent="0.25">
      <c r="A463">
        <v>17.7</v>
      </c>
      <c r="B463">
        <v>3.6931099999999999</v>
      </c>
      <c r="C463">
        <v>0</v>
      </c>
      <c r="D463">
        <v>18.100000000000001</v>
      </c>
      <c r="E463">
        <v>0</v>
      </c>
      <c r="F463">
        <v>0.71299999999999997</v>
      </c>
      <c r="G463">
        <v>6.3760000000000003</v>
      </c>
      <c r="H463">
        <v>88.4</v>
      </c>
      <c r="I463">
        <v>2.5670999999999999</v>
      </c>
      <c r="J463">
        <v>24</v>
      </c>
      <c r="K463">
        <v>666</v>
      </c>
      <c r="L463">
        <v>20.2</v>
      </c>
      <c r="M463">
        <v>391.43</v>
      </c>
      <c r="N463">
        <v>14.65</v>
      </c>
    </row>
    <row r="464" spans="1:14" x14ac:dyDescent="0.25">
      <c r="A464">
        <v>19.5</v>
      </c>
      <c r="B464">
        <v>6.6549199999999997</v>
      </c>
      <c r="C464">
        <v>0</v>
      </c>
      <c r="D464">
        <v>18.100000000000001</v>
      </c>
      <c r="E464">
        <v>0</v>
      </c>
      <c r="F464">
        <v>0.71299999999999997</v>
      </c>
      <c r="G464">
        <v>6.3170000000000002</v>
      </c>
      <c r="H464">
        <v>83</v>
      </c>
      <c r="I464">
        <v>2.7343999999999999</v>
      </c>
      <c r="J464">
        <v>24</v>
      </c>
      <c r="K464">
        <v>666</v>
      </c>
      <c r="L464">
        <v>20.2</v>
      </c>
      <c r="M464">
        <v>396.9</v>
      </c>
      <c r="N464">
        <v>13.99</v>
      </c>
    </row>
    <row r="465" spans="1:14" x14ac:dyDescent="0.25">
      <c r="A465">
        <v>20.2</v>
      </c>
      <c r="B465">
        <v>5.8211500000000003</v>
      </c>
      <c r="C465">
        <v>0</v>
      </c>
      <c r="D465">
        <v>18.100000000000001</v>
      </c>
      <c r="E465">
        <v>0</v>
      </c>
      <c r="F465">
        <v>0.71299999999999997</v>
      </c>
      <c r="G465">
        <v>6.5129999999999999</v>
      </c>
      <c r="H465">
        <v>89.9</v>
      </c>
      <c r="I465">
        <v>2.8016000000000001</v>
      </c>
      <c r="J465">
        <v>24</v>
      </c>
      <c r="K465">
        <v>666</v>
      </c>
      <c r="L465">
        <v>20.2</v>
      </c>
      <c r="M465">
        <v>393.82</v>
      </c>
      <c r="N465">
        <v>10.29</v>
      </c>
    </row>
    <row r="466" spans="1:14" x14ac:dyDescent="0.25">
      <c r="A466">
        <v>21.4</v>
      </c>
      <c r="B466">
        <v>7.8393199999999998</v>
      </c>
      <c r="C466">
        <v>0</v>
      </c>
      <c r="D466">
        <v>18.100000000000001</v>
      </c>
      <c r="E466">
        <v>0</v>
      </c>
      <c r="F466">
        <v>0.65500000000000003</v>
      </c>
      <c r="G466">
        <v>6.2089999999999996</v>
      </c>
      <c r="H466">
        <v>65.400000000000006</v>
      </c>
      <c r="I466">
        <v>2.9634</v>
      </c>
      <c r="J466">
        <v>24</v>
      </c>
      <c r="K466">
        <v>666</v>
      </c>
      <c r="L466">
        <v>20.2</v>
      </c>
      <c r="M466">
        <v>396.9</v>
      </c>
      <c r="N466">
        <v>13.22</v>
      </c>
    </row>
    <row r="467" spans="1:14" x14ac:dyDescent="0.25">
      <c r="A467">
        <v>19.899999999999999</v>
      </c>
      <c r="B467">
        <v>3.1636000000000002</v>
      </c>
      <c r="C467">
        <v>0</v>
      </c>
      <c r="D467">
        <v>18.100000000000001</v>
      </c>
      <c r="E467">
        <v>0</v>
      </c>
      <c r="F467">
        <v>0.65500000000000003</v>
      </c>
      <c r="G467">
        <v>5.7590000000000003</v>
      </c>
      <c r="H467">
        <v>48.2</v>
      </c>
      <c r="I467">
        <v>3.0665</v>
      </c>
      <c r="J467">
        <v>24</v>
      </c>
      <c r="K467">
        <v>666</v>
      </c>
      <c r="L467">
        <v>20.2</v>
      </c>
      <c r="M467">
        <v>334.4</v>
      </c>
      <c r="N467">
        <v>14.13</v>
      </c>
    </row>
    <row r="468" spans="1:14" x14ac:dyDescent="0.25">
      <c r="A468">
        <v>19</v>
      </c>
      <c r="B468">
        <v>3.7749799999999998</v>
      </c>
      <c r="C468">
        <v>0</v>
      </c>
      <c r="D468">
        <v>18.100000000000001</v>
      </c>
      <c r="E468">
        <v>0</v>
      </c>
      <c r="F468">
        <v>0.65500000000000003</v>
      </c>
      <c r="G468">
        <v>5.952</v>
      </c>
      <c r="H468">
        <v>84.7</v>
      </c>
      <c r="I468">
        <v>2.8715000000000002</v>
      </c>
      <c r="J468">
        <v>24</v>
      </c>
      <c r="K468">
        <v>666</v>
      </c>
      <c r="L468">
        <v>20.2</v>
      </c>
      <c r="M468">
        <v>22.01</v>
      </c>
      <c r="N468">
        <v>17.149999999999999</v>
      </c>
    </row>
    <row r="469" spans="1:14" x14ac:dyDescent="0.25">
      <c r="A469">
        <v>19.100000000000001</v>
      </c>
      <c r="B469">
        <v>4.4222799999999998</v>
      </c>
      <c r="C469">
        <v>0</v>
      </c>
      <c r="D469">
        <v>18.100000000000001</v>
      </c>
      <c r="E469">
        <v>0</v>
      </c>
      <c r="F469">
        <v>0.58399999999999996</v>
      </c>
      <c r="G469">
        <v>6.0030000000000001</v>
      </c>
      <c r="H469">
        <v>94.5</v>
      </c>
      <c r="I469">
        <v>2.5402999999999998</v>
      </c>
      <c r="J469">
        <v>24</v>
      </c>
      <c r="K469">
        <v>666</v>
      </c>
      <c r="L469">
        <v>20.2</v>
      </c>
      <c r="M469">
        <v>331.29</v>
      </c>
      <c r="N469">
        <v>21.32</v>
      </c>
    </row>
    <row r="470" spans="1:14" x14ac:dyDescent="0.25">
      <c r="A470">
        <v>19.100000000000001</v>
      </c>
      <c r="B470">
        <v>15.575699999999999</v>
      </c>
      <c r="C470">
        <v>0</v>
      </c>
      <c r="D470">
        <v>18.100000000000001</v>
      </c>
      <c r="E470">
        <v>0</v>
      </c>
      <c r="F470">
        <v>0.57999999999999996</v>
      </c>
      <c r="G470">
        <v>5.9260000000000002</v>
      </c>
      <c r="H470">
        <v>71</v>
      </c>
      <c r="I470">
        <v>2.9083999999999999</v>
      </c>
      <c r="J470">
        <v>24</v>
      </c>
      <c r="K470">
        <v>666</v>
      </c>
      <c r="L470">
        <v>20.2</v>
      </c>
      <c r="M470">
        <v>368.74</v>
      </c>
      <c r="N470">
        <v>18.13</v>
      </c>
    </row>
    <row r="471" spans="1:14" x14ac:dyDescent="0.25">
      <c r="A471">
        <v>20.100000000000001</v>
      </c>
      <c r="B471">
        <v>13.075100000000001</v>
      </c>
      <c r="C471">
        <v>0</v>
      </c>
      <c r="D471">
        <v>18.100000000000001</v>
      </c>
      <c r="E471">
        <v>0</v>
      </c>
      <c r="F471">
        <v>0.57999999999999996</v>
      </c>
      <c r="G471">
        <v>5.7130000000000001</v>
      </c>
      <c r="H471">
        <v>56.7</v>
      </c>
      <c r="I471">
        <v>2.8237000000000001</v>
      </c>
      <c r="J471">
        <v>24</v>
      </c>
      <c r="K471">
        <v>666</v>
      </c>
      <c r="L471">
        <v>20.2</v>
      </c>
      <c r="M471">
        <v>396.9</v>
      </c>
      <c r="N471">
        <v>14.76</v>
      </c>
    </row>
    <row r="472" spans="1:14" x14ac:dyDescent="0.25">
      <c r="A472">
        <v>19.899999999999999</v>
      </c>
      <c r="B472">
        <v>4.3487900000000002</v>
      </c>
      <c r="C472">
        <v>0</v>
      </c>
      <c r="D472">
        <v>18.100000000000001</v>
      </c>
      <c r="E472">
        <v>0</v>
      </c>
      <c r="F472">
        <v>0.57999999999999996</v>
      </c>
      <c r="G472">
        <v>6.1669999999999998</v>
      </c>
      <c r="H472">
        <v>84</v>
      </c>
      <c r="I472">
        <v>3.0333999999999999</v>
      </c>
      <c r="J472">
        <v>24</v>
      </c>
      <c r="K472">
        <v>666</v>
      </c>
      <c r="L472">
        <v>20.2</v>
      </c>
      <c r="M472">
        <v>396.9</v>
      </c>
      <c r="N472">
        <v>16.29</v>
      </c>
    </row>
    <row r="473" spans="1:14" x14ac:dyDescent="0.25">
      <c r="A473">
        <v>19.600000000000001</v>
      </c>
      <c r="B473">
        <v>4.0384099999999998</v>
      </c>
      <c r="C473">
        <v>0</v>
      </c>
      <c r="D473">
        <v>18.100000000000001</v>
      </c>
      <c r="E473">
        <v>0</v>
      </c>
      <c r="F473">
        <v>0.53200000000000003</v>
      </c>
      <c r="G473">
        <v>6.2290000000000001</v>
      </c>
      <c r="H473">
        <v>90.7</v>
      </c>
      <c r="I473">
        <v>3.0992999999999999</v>
      </c>
      <c r="J473">
        <v>24</v>
      </c>
      <c r="K473">
        <v>666</v>
      </c>
      <c r="L473">
        <v>20.2</v>
      </c>
      <c r="M473">
        <v>395.33</v>
      </c>
      <c r="N473">
        <v>12.87</v>
      </c>
    </row>
    <row r="474" spans="1:14" x14ac:dyDescent="0.25">
      <c r="A474">
        <v>23.2</v>
      </c>
      <c r="B474">
        <v>3.5686800000000001</v>
      </c>
      <c r="C474">
        <v>0</v>
      </c>
      <c r="D474">
        <v>18.100000000000001</v>
      </c>
      <c r="E474">
        <v>0</v>
      </c>
      <c r="F474">
        <v>0.57999999999999996</v>
      </c>
      <c r="G474">
        <v>6.4370000000000003</v>
      </c>
      <c r="H474">
        <v>75</v>
      </c>
      <c r="I474">
        <v>2.8965000000000001</v>
      </c>
      <c r="J474">
        <v>24</v>
      </c>
      <c r="K474">
        <v>666</v>
      </c>
      <c r="L474">
        <v>20.2</v>
      </c>
      <c r="M474">
        <v>393.37</v>
      </c>
      <c r="N474">
        <v>14.36</v>
      </c>
    </row>
    <row r="475" spans="1:14" x14ac:dyDescent="0.25">
      <c r="A475">
        <v>29.8</v>
      </c>
      <c r="B475">
        <v>4.64689</v>
      </c>
      <c r="C475">
        <v>0</v>
      </c>
      <c r="D475">
        <v>18.100000000000001</v>
      </c>
      <c r="E475">
        <v>0</v>
      </c>
      <c r="F475">
        <v>0.61399999999999999</v>
      </c>
      <c r="G475">
        <v>6.98</v>
      </c>
      <c r="H475">
        <v>67.599999999999994</v>
      </c>
      <c r="I475">
        <v>2.5329000000000002</v>
      </c>
      <c r="J475">
        <v>24</v>
      </c>
      <c r="K475">
        <v>666</v>
      </c>
      <c r="L475">
        <v>20.2</v>
      </c>
      <c r="M475">
        <v>374.68</v>
      </c>
      <c r="N475">
        <v>11.66</v>
      </c>
    </row>
    <row r="476" spans="1:14" x14ac:dyDescent="0.25">
      <c r="A476">
        <v>13.8</v>
      </c>
      <c r="B476">
        <v>8.05579</v>
      </c>
      <c r="C476">
        <v>0</v>
      </c>
      <c r="D476">
        <v>18.100000000000001</v>
      </c>
      <c r="E476">
        <v>0</v>
      </c>
      <c r="F476">
        <v>0.58399999999999996</v>
      </c>
      <c r="G476">
        <v>5.4269999999999996</v>
      </c>
      <c r="H476">
        <v>95.4</v>
      </c>
      <c r="I476">
        <v>2.4298000000000002</v>
      </c>
      <c r="J476">
        <v>24</v>
      </c>
      <c r="K476">
        <v>666</v>
      </c>
      <c r="L476">
        <v>20.2</v>
      </c>
      <c r="M476">
        <v>352.58</v>
      </c>
      <c r="N476">
        <v>18.14</v>
      </c>
    </row>
    <row r="477" spans="1:14" x14ac:dyDescent="0.25">
      <c r="A477">
        <v>13.3</v>
      </c>
      <c r="B477">
        <v>6.3931199999999997</v>
      </c>
      <c r="C477">
        <v>0</v>
      </c>
      <c r="D477">
        <v>18.100000000000001</v>
      </c>
      <c r="E477">
        <v>0</v>
      </c>
      <c r="F477">
        <v>0.58399999999999996</v>
      </c>
      <c r="G477">
        <v>6.1619999999999999</v>
      </c>
      <c r="H477">
        <v>97.4</v>
      </c>
      <c r="I477">
        <v>2.206</v>
      </c>
      <c r="J477">
        <v>24</v>
      </c>
      <c r="K477">
        <v>666</v>
      </c>
      <c r="L477">
        <v>20.2</v>
      </c>
      <c r="M477">
        <v>302.76</v>
      </c>
      <c r="N477">
        <v>24.1</v>
      </c>
    </row>
    <row r="478" spans="1:14" x14ac:dyDescent="0.25">
      <c r="A478">
        <v>16.7</v>
      </c>
      <c r="B478">
        <v>4.87141</v>
      </c>
      <c r="C478">
        <v>0</v>
      </c>
      <c r="D478">
        <v>18.100000000000001</v>
      </c>
      <c r="E478">
        <v>0</v>
      </c>
      <c r="F478">
        <v>0.61399999999999999</v>
      </c>
      <c r="G478">
        <v>6.484</v>
      </c>
      <c r="H478">
        <v>93.6</v>
      </c>
      <c r="I478">
        <v>2.3052999999999999</v>
      </c>
      <c r="J478">
        <v>24</v>
      </c>
      <c r="K478">
        <v>666</v>
      </c>
      <c r="L478">
        <v>20.2</v>
      </c>
      <c r="M478">
        <v>396.21</v>
      </c>
      <c r="N478">
        <v>18.68</v>
      </c>
    </row>
    <row r="479" spans="1:14" x14ac:dyDescent="0.25">
      <c r="A479">
        <v>12</v>
      </c>
      <c r="B479">
        <v>15.023400000000001</v>
      </c>
      <c r="C479">
        <v>0</v>
      </c>
      <c r="D479">
        <v>18.100000000000001</v>
      </c>
      <c r="E479">
        <v>0</v>
      </c>
      <c r="F479">
        <v>0.61399999999999999</v>
      </c>
      <c r="G479">
        <v>5.3040000000000003</v>
      </c>
      <c r="H479">
        <v>97.3</v>
      </c>
      <c r="I479">
        <v>2.1006999999999998</v>
      </c>
      <c r="J479">
        <v>24</v>
      </c>
      <c r="K479">
        <v>666</v>
      </c>
      <c r="L479">
        <v>20.2</v>
      </c>
      <c r="M479">
        <v>349.48</v>
      </c>
      <c r="N479">
        <v>24.91</v>
      </c>
    </row>
    <row r="480" spans="1:14" x14ac:dyDescent="0.25">
      <c r="A480">
        <v>14.6</v>
      </c>
      <c r="B480">
        <v>10.233000000000001</v>
      </c>
      <c r="C480">
        <v>0</v>
      </c>
      <c r="D480">
        <v>18.100000000000001</v>
      </c>
      <c r="E480">
        <v>0</v>
      </c>
      <c r="F480">
        <v>0.61399999999999999</v>
      </c>
      <c r="G480">
        <v>6.1849999999999996</v>
      </c>
      <c r="H480">
        <v>96.7</v>
      </c>
      <c r="I480">
        <v>2.1705000000000001</v>
      </c>
      <c r="J480">
        <v>24</v>
      </c>
      <c r="K480">
        <v>666</v>
      </c>
      <c r="L480">
        <v>20.2</v>
      </c>
      <c r="M480">
        <v>379.7</v>
      </c>
      <c r="N480">
        <v>18.03</v>
      </c>
    </row>
    <row r="481" spans="1:14" x14ac:dyDescent="0.25">
      <c r="A481">
        <v>21.4</v>
      </c>
      <c r="B481">
        <v>14.3337</v>
      </c>
      <c r="C481">
        <v>0</v>
      </c>
      <c r="D481">
        <v>18.100000000000001</v>
      </c>
      <c r="E481">
        <v>0</v>
      </c>
      <c r="F481">
        <v>0.61399999999999999</v>
      </c>
      <c r="G481">
        <v>6.2290000000000001</v>
      </c>
      <c r="H481">
        <v>88</v>
      </c>
      <c r="I481">
        <v>1.9512</v>
      </c>
      <c r="J481">
        <v>24</v>
      </c>
      <c r="K481">
        <v>666</v>
      </c>
      <c r="L481">
        <v>20.2</v>
      </c>
      <c r="M481">
        <v>383.32</v>
      </c>
      <c r="N481">
        <v>13.11</v>
      </c>
    </row>
    <row r="482" spans="1:14" x14ac:dyDescent="0.25">
      <c r="A482">
        <v>23</v>
      </c>
      <c r="B482">
        <v>5.8240100000000004</v>
      </c>
      <c r="C482">
        <v>0</v>
      </c>
      <c r="D482">
        <v>18.100000000000001</v>
      </c>
      <c r="E482">
        <v>0</v>
      </c>
      <c r="F482">
        <v>0.53200000000000003</v>
      </c>
      <c r="G482">
        <v>6.242</v>
      </c>
      <c r="H482">
        <v>64.7</v>
      </c>
      <c r="I482">
        <v>3.4241999999999999</v>
      </c>
      <c r="J482">
        <v>24</v>
      </c>
      <c r="K482">
        <v>666</v>
      </c>
      <c r="L482">
        <v>20.2</v>
      </c>
      <c r="M482">
        <v>396.9</v>
      </c>
      <c r="N482">
        <v>10.74</v>
      </c>
    </row>
    <row r="483" spans="1:14" x14ac:dyDescent="0.25">
      <c r="A483">
        <v>23.7</v>
      </c>
      <c r="B483">
        <v>5.7081799999999996</v>
      </c>
      <c r="C483">
        <v>0</v>
      </c>
      <c r="D483">
        <v>18.100000000000001</v>
      </c>
      <c r="E483">
        <v>0</v>
      </c>
      <c r="F483">
        <v>0.53200000000000003</v>
      </c>
      <c r="G483">
        <v>6.75</v>
      </c>
      <c r="H483">
        <v>74.900000000000006</v>
      </c>
      <c r="I483">
        <v>3.3317000000000001</v>
      </c>
      <c r="J483">
        <v>24</v>
      </c>
      <c r="K483">
        <v>666</v>
      </c>
      <c r="L483">
        <v>20.2</v>
      </c>
      <c r="M483">
        <v>393.07</v>
      </c>
      <c r="N483">
        <v>7.74</v>
      </c>
    </row>
    <row r="484" spans="1:14" x14ac:dyDescent="0.25">
      <c r="A484">
        <v>25</v>
      </c>
      <c r="B484">
        <v>5.73116</v>
      </c>
      <c r="C484">
        <v>0</v>
      </c>
      <c r="D484">
        <v>18.100000000000001</v>
      </c>
      <c r="E484">
        <v>0</v>
      </c>
      <c r="F484">
        <v>0.53200000000000003</v>
      </c>
      <c r="G484">
        <v>7.0609999999999999</v>
      </c>
      <c r="H484">
        <v>77</v>
      </c>
      <c r="I484">
        <v>3.4106000000000001</v>
      </c>
      <c r="J484">
        <v>24</v>
      </c>
      <c r="K484">
        <v>666</v>
      </c>
      <c r="L484">
        <v>20.2</v>
      </c>
      <c r="M484">
        <v>395.28</v>
      </c>
      <c r="N484">
        <v>7.01</v>
      </c>
    </row>
    <row r="485" spans="1:14" x14ac:dyDescent="0.25">
      <c r="A485">
        <v>21.8</v>
      </c>
      <c r="B485">
        <v>2.8183799999999999</v>
      </c>
      <c r="C485">
        <v>0</v>
      </c>
      <c r="D485">
        <v>18.100000000000001</v>
      </c>
      <c r="E485">
        <v>0</v>
      </c>
      <c r="F485">
        <v>0.53200000000000003</v>
      </c>
      <c r="G485">
        <v>5.7619999999999996</v>
      </c>
      <c r="H485">
        <v>40.299999999999997</v>
      </c>
      <c r="I485">
        <v>4.0983000000000001</v>
      </c>
      <c r="J485">
        <v>24</v>
      </c>
      <c r="K485">
        <v>666</v>
      </c>
      <c r="L485">
        <v>20.2</v>
      </c>
      <c r="M485">
        <v>392.92</v>
      </c>
      <c r="N485">
        <v>10.42</v>
      </c>
    </row>
    <row r="486" spans="1:14" x14ac:dyDescent="0.25">
      <c r="A486">
        <v>20.6</v>
      </c>
      <c r="B486">
        <v>2.3785699999999999</v>
      </c>
      <c r="C486">
        <v>0</v>
      </c>
      <c r="D486">
        <v>18.100000000000001</v>
      </c>
      <c r="E486">
        <v>0</v>
      </c>
      <c r="F486">
        <v>0.58299999999999996</v>
      </c>
      <c r="G486">
        <v>5.8710000000000004</v>
      </c>
      <c r="H486">
        <v>41.9</v>
      </c>
      <c r="I486">
        <v>3.7240000000000002</v>
      </c>
      <c r="J486">
        <v>24</v>
      </c>
      <c r="K486">
        <v>666</v>
      </c>
      <c r="L486">
        <v>20.2</v>
      </c>
      <c r="M486">
        <v>370.73</v>
      </c>
      <c r="N486">
        <v>13.34</v>
      </c>
    </row>
    <row r="487" spans="1:14" x14ac:dyDescent="0.25">
      <c r="A487">
        <v>21.2</v>
      </c>
      <c r="B487">
        <v>3.67367</v>
      </c>
      <c r="C487">
        <v>0</v>
      </c>
      <c r="D487">
        <v>18.100000000000001</v>
      </c>
      <c r="E487">
        <v>0</v>
      </c>
      <c r="F487">
        <v>0.58299999999999996</v>
      </c>
      <c r="G487">
        <v>6.3120000000000003</v>
      </c>
      <c r="H487">
        <v>51.9</v>
      </c>
      <c r="I487">
        <v>3.9916999999999998</v>
      </c>
      <c r="J487">
        <v>24</v>
      </c>
      <c r="K487">
        <v>666</v>
      </c>
      <c r="L487">
        <v>20.2</v>
      </c>
      <c r="M487">
        <v>388.62</v>
      </c>
      <c r="N487">
        <v>10.58</v>
      </c>
    </row>
    <row r="488" spans="1:14" x14ac:dyDescent="0.25">
      <c r="A488">
        <v>19.100000000000001</v>
      </c>
      <c r="B488">
        <v>5.6917499999999999</v>
      </c>
      <c r="C488">
        <v>0</v>
      </c>
      <c r="D488">
        <v>18.100000000000001</v>
      </c>
      <c r="E488">
        <v>0</v>
      </c>
      <c r="F488">
        <v>0.58299999999999996</v>
      </c>
      <c r="G488">
        <v>6.1139999999999999</v>
      </c>
      <c r="H488">
        <v>79.8</v>
      </c>
      <c r="I488">
        <v>3.5459000000000001</v>
      </c>
      <c r="J488">
        <v>24</v>
      </c>
      <c r="K488">
        <v>666</v>
      </c>
      <c r="L488">
        <v>20.2</v>
      </c>
      <c r="M488">
        <v>392.68</v>
      </c>
      <c r="N488">
        <v>14.98</v>
      </c>
    </row>
    <row r="489" spans="1:14" x14ac:dyDescent="0.25">
      <c r="A489">
        <v>20.6</v>
      </c>
      <c r="B489">
        <v>4.8356700000000004</v>
      </c>
      <c r="C489">
        <v>0</v>
      </c>
      <c r="D489">
        <v>18.100000000000001</v>
      </c>
      <c r="E489">
        <v>0</v>
      </c>
      <c r="F489">
        <v>0.58299999999999996</v>
      </c>
      <c r="G489">
        <v>5.9050000000000002</v>
      </c>
      <c r="H489">
        <v>53.2</v>
      </c>
      <c r="I489">
        <v>3.1522999999999999</v>
      </c>
      <c r="J489">
        <v>24</v>
      </c>
      <c r="K489">
        <v>666</v>
      </c>
      <c r="L489">
        <v>20.2</v>
      </c>
      <c r="M489">
        <v>388.22</v>
      </c>
      <c r="N489">
        <v>11.45</v>
      </c>
    </row>
    <row r="490" spans="1:14" x14ac:dyDescent="0.25">
      <c r="A490">
        <v>15.2</v>
      </c>
      <c r="B490">
        <v>0.15085999999999999</v>
      </c>
      <c r="C490">
        <v>0</v>
      </c>
      <c r="D490">
        <v>27.74</v>
      </c>
      <c r="E490">
        <v>0</v>
      </c>
      <c r="F490">
        <v>0.60899999999999999</v>
      </c>
      <c r="G490">
        <v>5.4539999999999997</v>
      </c>
      <c r="H490">
        <v>92.7</v>
      </c>
      <c r="I490">
        <v>1.8209</v>
      </c>
      <c r="J490">
        <v>4</v>
      </c>
      <c r="K490">
        <v>711</v>
      </c>
      <c r="L490">
        <v>20.100000000000001</v>
      </c>
      <c r="M490">
        <v>395.09</v>
      </c>
      <c r="N490">
        <v>18.059999999999999</v>
      </c>
    </row>
    <row r="491" spans="1:14" x14ac:dyDescent="0.25">
      <c r="A491">
        <v>7</v>
      </c>
      <c r="B491">
        <v>0.18337000000000001</v>
      </c>
      <c r="C491">
        <v>0</v>
      </c>
      <c r="D491">
        <v>27.74</v>
      </c>
      <c r="E491">
        <v>0</v>
      </c>
      <c r="F491">
        <v>0.60899999999999999</v>
      </c>
      <c r="G491">
        <v>5.4139999999999997</v>
      </c>
      <c r="H491">
        <v>98.3</v>
      </c>
      <c r="I491">
        <v>1.7554000000000001</v>
      </c>
      <c r="J491">
        <v>4</v>
      </c>
      <c r="K491">
        <v>711</v>
      </c>
      <c r="L491">
        <v>20.100000000000001</v>
      </c>
      <c r="M491">
        <v>344.05</v>
      </c>
      <c r="N491">
        <v>23.97</v>
      </c>
    </row>
    <row r="492" spans="1:14" x14ac:dyDescent="0.25">
      <c r="A492">
        <v>8.1</v>
      </c>
      <c r="B492">
        <v>0.20746000000000001</v>
      </c>
      <c r="C492">
        <v>0</v>
      </c>
      <c r="D492">
        <v>27.74</v>
      </c>
      <c r="E492">
        <v>0</v>
      </c>
      <c r="F492">
        <v>0.60899999999999999</v>
      </c>
      <c r="G492">
        <v>5.093</v>
      </c>
      <c r="H492">
        <v>98</v>
      </c>
      <c r="I492">
        <v>1.8226</v>
      </c>
      <c r="J492">
        <v>4</v>
      </c>
      <c r="K492">
        <v>711</v>
      </c>
      <c r="L492">
        <v>20.100000000000001</v>
      </c>
      <c r="M492">
        <v>318.43</v>
      </c>
      <c r="N492">
        <v>29.68</v>
      </c>
    </row>
    <row r="493" spans="1:14" x14ac:dyDescent="0.25">
      <c r="A493">
        <v>13.6</v>
      </c>
      <c r="B493">
        <v>0.10574</v>
      </c>
      <c r="C493">
        <v>0</v>
      </c>
      <c r="D493">
        <v>27.74</v>
      </c>
      <c r="E493">
        <v>0</v>
      </c>
      <c r="F493">
        <v>0.60899999999999999</v>
      </c>
      <c r="G493">
        <v>5.9829999999999997</v>
      </c>
      <c r="H493">
        <v>98.8</v>
      </c>
      <c r="I493">
        <v>1.8681000000000001</v>
      </c>
      <c r="J493">
        <v>4</v>
      </c>
      <c r="K493">
        <v>711</v>
      </c>
      <c r="L493">
        <v>20.100000000000001</v>
      </c>
      <c r="M493">
        <v>390.11</v>
      </c>
      <c r="N493">
        <v>18.07</v>
      </c>
    </row>
    <row r="494" spans="1:14" x14ac:dyDescent="0.25">
      <c r="A494">
        <v>20.100000000000001</v>
      </c>
      <c r="B494">
        <v>0.11132</v>
      </c>
      <c r="C494">
        <v>0</v>
      </c>
      <c r="D494">
        <v>27.74</v>
      </c>
      <c r="E494">
        <v>0</v>
      </c>
      <c r="F494">
        <v>0.60899999999999999</v>
      </c>
      <c r="G494">
        <v>5.9829999999999997</v>
      </c>
      <c r="H494">
        <v>83.5</v>
      </c>
      <c r="I494">
        <v>2.1099000000000001</v>
      </c>
      <c r="J494">
        <v>4</v>
      </c>
      <c r="K494">
        <v>711</v>
      </c>
      <c r="L494">
        <v>20.100000000000001</v>
      </c>
      <c r="M494">
        <v>396.9</v>
      </c>
      <c r="N494">
        <v>13.35</v>
      </c>
    </row>
    <row r="495" spans="1:14" x14ac:dyDescent="0.25">
      <c r="A495">
        <v>21.8</v>
      </c>
      <c r="B495">
        <v>0.17330999999999999</v>
      </c>
      <c r="C495">
        <v>0</v>
      </c>
      <c r="D495">
        <v>9.69</v>
      </c>
      <c r="E495">
        <v>0</v>
      </c>
      <c r="F495">
        <v>0.58499999999999996</v>
      </c>
      <c r="G495">
        <v>5.7069999999999999</v>
      </c>
      <c r="H495">
        <v>54</v>
      </c>
      <c r="I495">
        <v>2.3816999999999999</v>
      </c>
      <c r="J495">
        <v>6</v>
      </c>
      <c r="K495">
        <v>391</v>
      </c>
      <c r="L495">
        <v>19.2</v>
      </c>
      <c r="M495">
        <v>396.9</v>
      </c>
      <c r="N495">
        <v>12.01</v>
      </c>
    </row>
    <row r="496" spans="1:14" x14ac:dyDescent="0.25">
      <c r="A496">
        <v>24.5</v>
      </c>
      <c r="B496">
        <v>0.27956999999999999</v>
      </c>
      <c r="C496">
        <v>0</v>
      </c>
      <c r="D496">
        <v>9.69</v>
      </c>
      <c r="E496">
        <v>0</v>
      </c>
      <c r="F496">
        <v>0.58499999999999996</v>
      </c>
      <c r="G496">
        <v>5.9260000000000002</v>
      </c>
      <c r="H496">
        <v>42.6</v>
      </c>
      <c r="I496">
        <v>2.3816999999999999</v>
      </c>
      <c r="J496">
        <v>6</v>
      </c>
      <c r="K496">
        <v>391</v>
      </c>
      <c r="L496">
        <v>19.2</v>
      </c>
      <c r="M496">
        <v>396.9</v>
      </c>
      <c r="N496">
        <v>13.59</v>
      </c>
    </row>
    <row r="497" spans="1:14" x14ac:dyDescent="0.25">
      <c r="A497">
        <v>23.1</v>
      </c>
      <c r="B497">
        <v>0.17899000000000001</v>
      </c>
      <c r="C497">
        <v>0</v>
      </c>
      <c r="D497">
        <v>9.69</v>
      </c>
      <c r="E497">
        <v>0</v>
      </c>
      <c r="F497">
        <v>0.58499999999999996</v>
      </c>
      <c r="G497">
        <v>5.67</v>
      </c>
      <c r="H497">
        <v>28.8</v>
      </c>
      <c r="I497">
        <v>2.7986</v>
      </c>
      <c r="J497">
        <v>6</v>
      </c>
      <c r="K497">
        <v>391</v>
      </c>
      <c r="L497">
        <v>19.2</v>
      </c>
      <c r="M497">
        <v>393.29</v>
      </c>
      <c r="N497">
        <v>17.600000000000001</v>
      </c>
    </row>
    <row r="498" spans="1:14" x14ac:dyDescent="0.25">
      <c r="A498">
        <v>19.7</v>
      </c>
      <c r="B498">
        <v>0.28960000000000002</v>
      </c>
      <c r="C498">
        <v>0</v>
      </c>
      <c r="D498">
        <v>9.69</v>
      </c>
      <c r="E498">
        <v>0</v>
      </c>
      <c r="F498">
        <v>0.58499999999999996</v>
      </c>
      <c r="G498">
        <v>5.39</v>
      </c>
      <c r="H498">
        <v>72.900000000000006</v>
      </c>
      <c r="I498">
        <v>2.7986</v>
      </c>
      <c r="J498">
        <v>6</v>
      </c>
      <c r="K498">
        <v>391</v>
      </c>
      <c r="L498">
        <v>19.2</v>
      </c>
      <c r="M498">
        <v>396.9</v>
      </c>
      <c r="N498">
        <v>21.14</v>
      </c>
    </row>
    <row r="499" spans="1:14" x14ac:dyDescent="0.25">
      <c r="A499">
        <v>18.3</v>
      </c>
      <c r="B499">
        <v>0.26838000000000001</v>
      </c>
      <c r="C499">
        <v>0</v>
      </c>
      <c r="D499">
        <v>9.69</v>
      </c>
      <c r="E499">
        <v>0</v>
      </c>
      <c r="F499">
        <v>0.58499999999999996</v>
      </c>
      <c r="G499">
        <v>5.7939999999999996</v>
      </c>
      <c r="H499">
        <v>70.599999999999994</v>
      </c>
      <c r="I499">
        <v>2.8927</v>
      </c>
      <c r="J499">
        <v>6</v>
      </c>
      <c r="K499">
        <v>391</v>
      </c>
      <c r="L499">
        <v>19.2</v>
      </c>
      <c r="M499">
        <v>396.9</v>
      </c>
      <c r="N499">
        <v>14.1</v>
      </c>
    </row>
    <row r="500" spans="1:14" x14ac:dyDescent="0.25">
      <c r="A500">
        <v>21.2</v>
      </c>
      <c r="B500">
        <v>0.23912</v>
      </c>
      <c r="C500">
        <v>0</v>
      </c>
      <c r="D500">
        <v>9.69</v>
      </c>
      <c r="E500">
        <v>0</v>
      </c>
      <c r="F500">
        <v>0.58499999999999996</v>
      </c>
      <c r="G500">
        <v>6.0190000000000001</v>
      </c>
      <c r="H500">
        <v>65.3</v>
      </c>
      <c r="I500">
        <v>2.4091</v>
      </c>
      <c r="J500">
        <v>6</v>
      </c>
      <c r="K500">
        <v>391</v>
      </c>
      <c r="L500">
        <v>19.2</v>
      </c>
      <c r="M500">
        <v>396.9</v>
      </c>
      <c r="N500">
        <v>12.92</v>
      </c>
    </row>
    <row r="501" spans="1:14" x14ac:dyDescent="0.25">
      <c r="A501">
        <v>17.5</v>
      </c>
      <c r="B501">
        <v>0.17782999999999999</v>
      </c>
      <c r="C501">
        <v>0</v>
      </c>
      <c r="D501">
        <v>9.69</v>
      </c>
      <c r="E501">
        <v>0</v>
      </c>
      <c r="F501">
        <v>0.58499999999999996</v>
      </c>
      <c r="G501">
        <v>5.569</v>
      </c>
      <c r="H501">
        <v>73.5</v>
      </c>
      <c r="I501">
        <v>2.3999000000000001</v>
      </c>
      <c r="J501">
        <v>6</v>
      </c>
      <c r="K501">
        <v>391</v>
      </c>
      <c r="L501">
        <v>19.2</v>
      </c>
      <c r="M501">
        <v>395.77</v>
      </c>
      <c r="N501">
        <v>15.1</v>
      </c>
    </row>
    <row r="502" spans="1:14" x14ac:dyDescent="0.25">
      <c r="A502">
        <v>16.8</v>
      </c>
      <c r="B502">
        <v>0.22438</v>
      </c>
      <c r="C502">
        <v>0</v>
      </c>
      <c r="D502">
        <v>9.69</v>
      </c>
      <c r="E502">
        <v>0</v>
      </c>
      <c r="F502">
        <v>0.58499999999999996</v>
      </c>
      <c r="G502">
        <v>6.0270000000000001</v>
      </c>
      <c r="H502">
        <v>79.7</v>
      </c>
      <c r="I502">
        <v>2.4982000000000002</v>
      </c>
      <c r="J502">
        <v>6</v>
      </c>
      <c r="K502">
        <v>391</v>
      </c>
      <c r="L502">
        <v>19.2</v>
      </c>
      <c r="M502">
        <v>396.9</v>
      </c>
      <c r="N502">
        <v>14.33</v>
      </c>
    </row>
    <row r="503" spans="1:14" x14ac:dyDescent="0.25">
      <c r="A503">
        <v>22.4</v>
      </c>
      <c r="B503">
        <v>6.2630000000000005E-2</v>
      </c>
      <c r="C503">
        <v>0</v>
      </c>
      <c r="D503">
        <v>11.93</v>
      </c>
      <c r="E503">
        <v>0</v>
      </c>
      <c r="F503">
        <v>0.57299999999999995</v>
      </c>
      <c r="G503">
        <v>6.593</v>
      </c>
      <c r="H503">
        <v>69.099999999999994</v>
      </c>
      <c r="I503">
        <v>2.4786000000000001</v>
      </c>
      <c r="J503">
        <v>1</v>
      </c>
      <c r="K503">
        <v>273</v>
      </c>
      <c r="L503">
        <v>21</v>
      </c>
      <c r="M503">
        <v>391.99</v>
      </c>
      <c r="N503">
        <v>9.67</v>
      </c>
    </row>
    <row r="504" spans="1:14" x14ac:dyDescent="0.25">
      <c r="A504">
        <v>20.6</v>
      </c>
      <c r="B504">
        <v>4.5269999999999998E-2</v>
      </c>
      <c r="C504">
        <v>0</v>
      </c>
      <c r="D504">
        <v>11.93</v>
      </c>
      <c r="E504">
        <v>0</v>
      </c>
      <c r="F504">
        <v>0.57299999999999995</v>
      </c>
      <c r="G504">
        <v>6.12</v>
      </c>
      <c r="H504">
        <v>76.7</v>
      </c>
      <c r="I504">
        <v>2.2875000000000001</v>
      </c>
      <c r="J504">
        <v>1</v>
      </c>
      <c r="K504">
        <v>273</v>
      </c>
      <c r="L504">
        <v>21</v>
      </c>
      <c r="M504">
        <v>396.9</v>
      </c>
      <c r="N504">
        <v>9.08</v>
      </c>
    </row>
    <row r="505" spans="1:14" x14ac:dyDescent="0.25">
      <c r="A505">
        <v>23.9</v>
      </c>
      <c r="B505">
        <v>6.0760000000000002E-2</v>
      </c>
      <c r="C505">
        <v>0</v>
      </c>
      <c r="D505">
        <v>11.93</v>
      </c>
      <c r="E505">
        <v>0</v>
      </c>
      <c r="F505">
        <v>0.57299999999999995</v>
      </c>
      <c r="G505">
        <v>6.976</v>
      </c>
      <c r="H505">
        <v>91</v>
      </c>
      <c r="I505">
        <v>2.1675</v>
      </c>
      <c r="J505">
        <v>1</v>
      </c>
      <c r="K505">
        <v>273</v>
      </c>
      <c r="L505">
        <v>21</v>
      </c>
      <c r="M505">
        <v>396.9</v>
      </c>
      <c r="N505">
        <v>5.64</v>
      </c>
    </row>
    <row r="506" spans="1:14" x14ac:dyDescent="0.25">
      <c r="A506">
        <v>22</v>
      </c>
      <c r="B506">
        <v>0.10959000000000001</v>
      </c>
      <c r="C506">
        <v>0</v>
      </c>
      <c r="D506">
        <v>11.93</v>
      </c>
      <c r="E506">
        <v>0</v>
      </c>
      <c r="F506">
        <v>0.57299999999999995</v>
      </c>
      <c r="G506">
        <v>6.7939999999999996</v>
      </c>
      <c r="H506">
        <v>89.3</v>
      </c>
      <c r="I506">
        <v>2.3889</v>
      </c>
      <c r="J506">
        <v>1</v>
      </c>
      <c r="K506">
        <v>273</v>
      </c>
      <c r="L506">
        <v>21</v>
      </c>
      <c r="M506">
        <v>393.45</v>
      </c>
      <c r="N506">
        <v>6.48</v>
      </c>
    </row>
    <row r="507" spans="1:14" x14ac:dyDescent="0.25">
      <c r="A507">
        <v>11.9</v>
      </c>
      <c r="B507">
        <v>4.7410000000000001E-2</v>
      </c>
      <c r="C507">
        <v>0</v>
      </c>
      <c r="D507">
        <v>11.93</v>
      </c>
      <c r="E507">
        <v>0</v>
      </c>
      <c r="F507">
        <v>0.57299999999999995</v>
      </c>
      <c r="G507">
        <v>6.03</v>
      </c>
      <c r="H507">
        <v>80.8</v>
      </c>
      <c r="I507">
        <v>2.5049999999999999</v>
      </c>
      <c r="J507">
        <v>1</v>
      </c>
      <c r="K507">
        <v>273</v>
      </c>
      <c r="L507">
        <v>21</v>
      </c>
      <c r="M507">
        <v>396.9</v>
      </c>
      <c r="N507">
        <v>7.88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2017-12-27T12:28:08Z</dcterms:created>
  <dcterms:modified xsi:type="dcterms:W3CDTF">2018-01-01T13:30:37Z</dcterms:modified>
</cp:coreProperties>
</file>